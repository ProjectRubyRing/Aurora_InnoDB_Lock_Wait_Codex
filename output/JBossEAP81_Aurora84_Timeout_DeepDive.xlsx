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はじめに" sheetId="1" r:id="rId1"/>
    <sheet name="01_結論と設定案" sheetId="2" r:id="rId2"/>
    <sheet name="02_小学生のたとえ" sheetId="3" r:id="rId3"/>
    <sheet name="03_４設定の比較" sheetId="4" r:id="rId4"/>
    <sheet name="04_歴史と背景" sheetId="5" r:id="rId5"/>
    <sheet name="05_JTAのしくみ" sheetId="6" r:id="rId6"/>
    <sheet name="06_XAのしくみと限界" sheetId="7" r:id="rId7"/>
    <sheet name="07_SQLタイムアウト" sheetId="8" r:id="rId8"/>
    <sheet name="08_set-txの優先順位" sheetId="9" r:id="rId9"/>
    <sheet name="09_実効値早見" sheetId="10" r:id="rId10"/>
    <sheet name="10_2PCと期限の境界" sheetId="11" r:id="rId11"/>
    <sheet name="11_時系列シナリオ" sheetId="12" r:id="rId12"/>
    <sheet name="12_Auroraとロック" sheetId="13" r:id="rId13"/>
    <sheet name="13_整合性の設計" sheetId="14" r:id="rId14"/>
    <sheet name="14_設定値の候補" sheetId="15" r:id="rId15"/>
    <sheet name="15_設定診断器" sheetId="16" r:id="rId16"/>
    <sheet name="16_設定確認とCLI" sheetId="17" r:id="rId17"/>
    <sheet name="17_Java実装例" sheetId="18" r:id="rId18"/>
    <sheet name="18_障害対応と監視" sheetId="19" r:id="rId19"/>
    <sheet name="19_検証ケース" sheetId="20" r:id="rId20"/>
    <sheet name="20_FAQと用語" sheetId="21" r:id="rId21"/>
    <sheet name="21_出典と確認範囲" sheetId="22" r:id="rId22"/>
    <sheet name="22_動作イメージ" sheetId="23" r:id="rId23"/>
  </sheets>
  <definedNames>
    <definedName name="_xlnm._FilterDatabase" localSheetId="1" hidden="1">'01_結論と設定案'!$A$5:$F$17</definedName>
    <definedName name="_xlnm._FilterDatabase" localSheetId="2" hidden="1">'02_小学生のたとえ'!$A$5:$F$21</definedName>
    <definedName name="_xlnm._FilterDatabase" localSheetId="3" hidden="1">'03_４設定の比較'!$A$5:$F$16</definedName>
    <definedName name="_xlnm._FilterDatabase" localSheetId="4" hidden="1">'04_歴史と背景'!$A$5:$F$18</definedName>
    <definedName name="_xlnm._FilterDatabase" localSheetId="5" hidden="1">'05_JTAのしくみ'!$A$5:$F$19</definedName>
    <definedName name="_xlnm._FilterDatabase" localSheetId="6" hidden="1">'06_XAのしくみと限界'!$A$5:$F$18</definedName>
    <definedName name="_xlnm._FilterDatabase" localSheetId="7" hidden="1">'07_SQLタイムアウト'!$A$5:$F$21</definedName>
    <definedName name="_xlnm._FilterDatabase" localSheetId="8" hidden="1">'08_set-txの優先順位'!$A$5:$F$19</definedName>
    <definedName name="_xlnm._FilterDatabase" localSheetId="9" hidden="1">'09_実効値早見'!$A$5:$H$19</definedName>
    <definedName name="_xlnm._FilterDatabase" localSheetId="10" hidden="1">'10_2PCと期限の境界'!$A$5:$F$24</definedName>
    <definedName name="_xlnm._FilterDatabase" localSheetId="11" hidden="1">'11_時系列シナリオ'!$A$5:$F$17</definedName>
    <definedName name="_xlnm._FilterDatabase" localSheetId="12" hidden="1">'12_Auroraとロック'!$A$5:$F$21</definedName>
    <definedName name="_xlnm._FilterDatabase" localSheetId="13" hidden="1">'13_整合性の設計'!$A$5:$F$19</definedName>
    <definedName name="_xlnm._FilterDatabase" localSheetId="14" hidden="1">'14_設定値の候補'!$A$5:$F$20</definedName>
    <definedName name="_xlnm._FilterDatabase" localSheetId="16" hidden="1">'16_設定確認とCLI'!$A$5:$F$23</definedName>
    <definedName name="_xlnm._FilterDatabase" localSheetId="17" hidden="1">'17_Java実装例'!$A$5:$F$15</definedName>
    <definedName name="_xlnm._FilterDatabase" localSheetId="18" hidden="1">'18_障害対応と監視'!$A$5:$F$21</definedName>
    <definedName name="_xlnm._FilterDatabase" localSheetId="19" hidden="1">'19_検証ケース'!$A$5:$F$23</definedName>
    <definedName name="_xlnm._FilterDatabase" localSheetId="20" hidden="1">'20_FAQと用語'!$A$5:$F$28</definedName>
    <definedName name="_xlnm._FilterDatabase" localSheetId="21" hidden="1">'21_出典と確認範囲'!$A$5:$F$47</definedName>
    <definedName name="_xlnm.Print_Area" localSheetId="0">'00_はじめに'!$A$1:$F$36</definedName>
    <definedName name="_xlnm.Print_Area" localSheetId="1">'01_結論と設定案'!$A$1:$F$17</definedName>
    <definedName name="_xlnm.Print_Area" localSheetId="2">'02_小学生のたとえ'!$A$1:$F$21</definedName>
    <definedName name="_xlnm.Print_Area" localSheetId="3">'03_４設定の比較'!$A$1:$F$16</definedName>
    <definedName name="_xlnm.Print_Area" localSheetId="4">'04_歴史と背景'!$A$1:$F$18</definedName>
    <definedName name="_xlnm.Print_Area" localSheetId="5">'05_JTAのしくみ'!$A$1:$F$19</definedName>
    <definedName name="_xlnm.Print_Area" localSheetId="6">'06_XAのしくみと限界'!$A$1:$F$18</definedName>
    <definedName name="_xlnm.Print_Area" localSheetId="7">'07_SQLタイムアウト'!$A$1:$F$21</definedName>
    <definedName name="_xlnm.Print_Area" localSheetId="8">'08_set-txの優先順位'!$A$1:$F$19</definedName>
    <definedName name="_xlnm.Print_Area" localSheetId="9">'09_実効値早見'!$A$1:$H$25</definedName>
    <definedName name="_xlnm.Print_Area" localSheetId="10">'10_2PCと期限の境界'!$A$1:$F$24</definedName>
    <definedName name="_xlnm.Print_Area" localSheetId="11">'11_時系列シナリオ'!$A$1:$F$17</definedName>
    <definedName name="_xlnm.Print_Area" localSheetId="12">'12_Auroraとロック'!$A$1:$F$21</definedName>
    <definedName name="_xlnm.Print_Area" localSheetId="13">'13_整合性の設計'!$A$1:$F$19</definedName>
    <definedName name="_xlnm.Print_Area" localSheetId="14">'14_設定値の候補'!$A$1:$F$20</definedName>
    <definedName name="_xlnm.Print_Area" localSheetId="15">'15_設定診断器'!$A$1:$F$34</definedName>
    <definedName name="_xlnm.Print_Area" localSheetId="16">'16_設定確認とCLI'!$A$1:$F$23</definedName>
    <definedName name="_xlnm.Print_Area" localSheetId="17">'17_Java実装例'!$A$1:$F$15</definedName>
    <definedName name="_xlnm.Print_Area" localSheetId="18">'18_障害対応と監視'!$A$1:$F$21</definedName>
    <definedName name="_xlnm.Print_Area" localSheetId="19">'19_検証ケース'!$A$1:$F$23</definedName>
    <definedName name="_xlnm.Print_Area" localSheetId="20">'20_FAQと用語'!$A$1:$F$28</definedName>
    <definedName name="_xlnm.Print_Area" localSheetId="21">'21_出典と確認範囲'!$A$1:$F$47</definedName>
    <definedName name="_xlnm.Print_Area" localSheetId="22">'22_動作イメージ'!$A$1:$K$29</definedName>
    <definedName name="_xlnm.Print_Titles" localSheetId="0">'00_はじめに'!$1:$5</definedName>
    <definedName name="_xlnm.Print_Titles" localSheetId="1">'01_結論と設定案'!$1:$5</definedName>
    <definedName name="_xlnm.Print_Titles" localSheetId="2">'02_小学生のたとえ'!$1:$5</definedName>
    <definedName name="_xlnm.Print_Titles" localSheetId="3">'03_４設定の比較'!$1:$5</definedName>
    <definedName name="_xlnm.Print_Titles" localSheetId="4">'04_歴史と背景'!$1:$5</definedName>
    <definedName name="_xlnm.Print_Titles" localSheetId="5">'05_JTAのしくみ'!$1:$5</definedName>
    <definedName name="_xlnm.Print_Titles" localSheetId="6">'06_XAのしくみと限界'!$1:$5</definedName>
    <definedName name="_xlnm.Print_Titles" localSheetId="7">'07_SQLタイムアウト'!$1:$5</definedName>
    <definedName name="_xlnm.Print_Titles" localSheetId="8">'08_set-txの優先順位'!$1:$5</definedName>
    <definedName name="_xlnm.Print_Titles" localSheetId="9">'09_実効値早見'!$1:$5</definedName>
    <definedName name="_xlnm.Print_Titles" localSheetId="10">'10_2PCと期限の境界'!$1:$5</definedName>
    <definedName name="_xlnm.Print_Titles" localSheetId="11">'11_時系列シナリオ'!$1:$5</definedName>
    <definedName name="_xlnm.Print_Titles" localSheetId="12">'12_Auroraとロック'!$1:$5</definedName>
    <definedName name="_xlnm.Print_Titles" localSheetId="13">'13_整合性の設計'!$1:$5</definedName>
    <definedName name="_xlnm.Print_Titles" localSheetId="14">'14_設定値の候補'!$1:$5</definedName>
    <definedName name="_xlnm.Print_Titles" localSheetId="15">'15_設定診断器'!$1:$5</definedName>
    <definedName name="_xlnm.Print_Titles" localSheetId="16">'16_設定確認とCLI'!$1:$5</definedName>
    <definedName name="_xlnm.Print_Titles" localSheetId="17">'17_Java実装例'!$1:$5</definedName>
    <definedName name="_xlnm.Print_Titles" localSheetId="18">'18_障害対応と監視'!$1:$5</definedName>
    <definedName name="_xlnm.Print_Titles" localSheetId="19">'19_検証ケース'!$1:$5</definedName>
    <definedName name="_xlnm.Print_Titles" localSheetId="20">'20_FAQと用語'!$1:$5</definedName>
    <definedName name="_xlnm.Print_Titles" localSheetId="21">'21_出典と確認範囲'!$1:$5</definedName>
    <definedName name="_xlnm.Print_Titles" localSheetId="22">'22_動作イメージ'!$1:$5</definedName>
  </definedNames>
  <calcPr calcId="124519" fullCalcOnLoad="1"/>
</workbook>
</file>

<file path=xl/sharedStrings.xml><?xml version="1.0" encoding="utf-8"?>
<sst xmlns="http://schemas.openxmlformats.org/spreadsheetml/2006/main" count="2420" uniqueCount="1834">
  <si>
    <t>JTA・XA・SQLタイムアウト 徹底解説</t>
  </si>
  <si>
    <t>小学生向けのたとえから、Narayanaの2PC・Connector/J実装・設定設計まで。</t>
  </si>
  <si>
    <t>目次</t>
  </si>
  <si>
    <t>対象：JBoss EAP 8.1 / Aurora Serverless v2（Aurora MySQL 8.4.7）/ MySQL Connector/J 9.7.0  ／  調査基準日：2026-10-09</t>
  </si>
  <si>
    <t>No.</t>
  </si>
  <si>
    <t>最初に読むこと</t>
  </si>
  <si>
    <t>やさしい説明</t>
  </si>
  <si>
    <t>この資料の前提・確認範囲</t>
  </si>
  <si>
    <t>使い方</t>
  </si>
  <si>
    <t>根拠</t>
  </si>
  <si>
    <t>最重要の答え</t>
  </si>
  <si>
    <t>2PCを使っても、全体の時計JTAは必要です。</t>
  </si>
  <si>
    <t>JTA期限は業務寿命に必要。しかしXA prepare/commitとrecoveryの厳密な完了上限にはならない。</t>
  </si>
  <si>
    <t>まず01、次に10と22の図解を読む。</t>
  </si>
  <si>
    <t>S18 S19 S25</t>
  </si>
  <si>
    <t>今回の環境</t>
  </si>
  <si>
    <t>指定された道具の型番を対象にします。</t>
  </si>
  <si>
    <t>JBoss EAP 8.1 / Aurora Serverless v2（Aurora MySQL 8.4.7）/ MySQL Connector/J 9.7.0。利用者回答による指定。現在の4設定値とEAP update番号は未確認。</t>
  </si>
  <si>
    <t>9.7.0の固定タグとEAP公開代表ビルドのコードを照合。</t>
  </si>
  <si>
    <t>S04 S10 S31 S32</t>
  </si>
  <si>
    <t>名称の訂正</t>
  </si>
  <si>
    <t>resource＝担当係、resume＝再開。</t>
  </si>
  <si>
    <t>依頼のxa-resume-timeoutは、利用者回答でxa-resource-timeoutを指すと確認。正式名を以後の説明とCLIに使用。</t>
  </si>
  <si>
    <t>Auroraの自動再開やJTA suspend/resumeと区別。</t>
  </si>
  <si>
    <t>S01 S28 S33</t>
  </si>
  <si>
    <t>検証候補の主案</t>
  </si>
  <si>
    <t>全体60秒、一問個別10秒、片付けも残します。</t>
  </si>
  <si>
    <t>JTA60秒、XA0、固定Q10秒、set-tx=true＋正の個別P10秒。候補値は製品公式推奨の唯一解ではない。</t>
  </si>
  <si>
    <t>14で条件を確認し、15の青いセルで整合性を計算。</t>
  </si>
  <si>
    <t>S05 S10 / 設計例</t>
  </si>
  <si>
    <t>実施した作業の範囲</t>
  </si>
  <si>
    <t>説明書とソースを調べ、Excelの文字と計算を検証します。</t>
  </si>
  <si>
    <t>公式資料・固定タグの調査、Excel構造・書式・リンク・数式と保存済み結果の検証。実EAP/DB設定変更や動作試験は未実施。</t>
  </si>
  <si>
    <t>19は未実施の試験計画。実機での合格済み一覧ではない。</t>
  </si>
  <si>
    <t>作業範囲</t>
  </si>
  <si>
    <t>読みやすさの設定</t>
  </si>
  <si>
    <t>見出しを固定し、長い文は折り返して表示します。</t>
  </si>
  <si>
    <t>全セルMeiryo UI。本文11pt。青緑の見出し、緑のたとえ、黄の判断、根拠リンク。列幅・行高は実フォントの文字幅から設定。</t>
  </si>
  <si>
    <t>シート目次、フィルター、ウィンドウ枠固定。印刷はA3横・1ページ幅・縦は複数ページ。</t>
  </si>
  <si>
    <t>書式設定</t>
  </si>
  <si>
    <t>クリックして移動</t>
  </si>
  <si>
    <t>読みたい内容</t>
  </si>
  <si>
    <t>説明・位置づけ</t>
  </si>
  <si>
    <t>おすすめ順</t>
  </si>
  <si>
    <t/>
  </si>
  <si>
    <t>01_結論と設定案</t>
  </si>
  <si>
    <t>最初に押さえる結論</t>
  </si>
  <si>
    <t>JTAは必要。SQLの期限、2PCの通信、障害後の復旧を分けて設計する。</t>
  </si>
  <si>
    <t>① 基礎</t>
  </si>
  <si>
    <t>02_小学生のたとえ</t>
  </si>
  <si>
    <t>学級のお買い物で理解する</t>
  </si>
  <si>
    <t>たとえの後で実際の名前を対応させる。『ベル＝即時停止』と思わないことが大切。</t>
  </si>
  <si>
    <t>03_４設定の比較</t>
  </si>
  <si>
    <t>4設定を同じ物差しで比較する</t>
  </si>
  <si>
    <t>何を測るか、誰が測るか、どこまで効くか。0の意味は設定ごとに異なる。</t>
  </si>
  <si>
    <t>04_歴史と背景</t>
  </si>
  <si>
    <t>なぜ時計が何種類も必要になったか</t>
  </si>
  <si>
    <t>年代は一次情報で確認できる範囲を示す。各JBoss属性の初登場年は断定しない。</t>
  </si>
  <si>
    <t>05_JTAのしくみ</t>
  </si>
  <si>
    <t>JTAの時計はどこからどこまでか</t>
  </si>
  <si>
    <t>業務全体の寿命を制限する。SQL停止や2PC通信を直接止めるタイマーとは異なる。</t>
  </si>
  <si>
    <t>② 原理</t>
  </si>
  <si>
    <t>06_XAのしくみと限界</t>
  </si>
  <si>
    <t>xa-resource-timeoutは何をする設定か</t>
  </si>
  <si>
    <t>本環境ではドライバー非対応。効かない時計を2PCの安全網として数えない。</t>
  </si>
  <si>
    <t>07_SQLタイムアウト</t>
  </si>
  <si>
    <t>query-timeoutとConnector/Jの取消</t>
  </si>
  <si>
    <t>SQLの待ちを減らすが、期限切れと取消完了は同じ時刻ではない。</t>
  </si>
  <si>
    <t>08_set-txの優先順位</t>
  </si>
  <si>
    <t>set-tx-query-timeoutを実装まで追う</t>
  </si>
  <si>
    <t>固定datasource値Qと、Statementの正の明示値Pを区別すると誤解がなくなる。</t>
  </si>
  <si>
    <t>09_実効値早見</t>
  </si>
  <si>
    <t>実効timeoutの14例</t>
  </si>
  <si>
    <t>QとP、JTA残りの優先順位を具体的な数字で比較。</t>
  </si>
  <si>
    <t>10_2PCと期限の境界</t>
  </si>
  <si>
    <t>Narayanaの2PCでJTAが必要な理由と限界</t>
  </si>
  <si>
    <t>活動中・prepare前後・確定決定後を分ける。JTA期限は2PC全体の強制終了期限ではない。</t>
  </si>
  <si>
    <t>11_時系列シナリオ</t>
  </si>
  <si>
    <t>開始時刻をそろえて動きを見る</t>
  </si>
  <si>
    <t>すべて説明用の例。実際の時刻には取消通信・DB undo・Reaperの遅れが加わる。</t>
  </si>
  <si>
    <t>12_Auroraとロック</t>
  </si>
  <si>
    <t>Aurora Serverless v2・MySQL 8.4.7の要点</t>
  </si>
  <si>
    <t>行ロック待ち、prepared XA、Serverless容量、接続障害を混同しない。</t>
  </si>
  <si>
    <t>13_整合性の設計</t>
  </si>
  <si>
    <t>秒数を整合させる考え方と式</t>
  </si>
  <si>
    <t>大小関係だけでなく、起点・範囲・失敗時の残り予算をそろえる。数式は設計モデル。</t>
  </si>
  <si>
    <t>③ 設定・運用</t>
  </si>
  <si>
    <t>14_設定値の候補</t>
  </si>
  <si>
    <t>この環境での具体的な出発点</t>
  </si>
  <si>
    <t>候補値は説明・検証用。実機測定なしに本番確定値とはしない。</t>
  </si>
  <si>
    <t>15_設定診断器</t>
  </si>
  <si>
    <t>入力を変えて計算</t>
  </si>
  <si>
    <t>青いセルを編集してq_eff、reserve、業務全体予算を確認。</t>
  </si>
  <si>
    <t>16_設定確認とCLI</t>
  </si>
  <si>
    <t>現在値を読む方法と、候補値の設定例</t>
  </si>
  <si>
    <t>コマンドは資料内の例。実EAP・DB・AWSの設定変更は実行していない。</t>
  </si>
  <si>
    <t>17_Java実装例</t>
  </si>
  <si>
    <t>JTA境界・SQL個別期限・reserveの例</t>
  </si>
  <si>
    <t>説明用の抜粋。業務コードや全2PC参加者は省略。Javaコンパイルと実EAP実行は未実施。</t>
  </si>
  <si>
    <t>18_障害対応と監視</t>
  </si>
  <si>
    <t>timeoutを見たときの調べ方</t>
  </si>
  <si>
    <t>検知、取消、rollback、ロック解放、最終結果、復旧完了を別々に確認する。</t>
  </si>
  <si>
    <t>19_検証ケース</t>
  </si>
  <si>
    <t>実環境で確かめる試験計画</t>
  </si>
  <si>
    <t>このシートは未実施の試験計画。『期待する観察』は合格済みの結果ではない。</t>
  </si>
  <si>
    <t>20_FAQと用語</t>
  </si>
  <si>
    <t>よくある疑問と短い言葉の辞書</t>
  </si>
  <si>
    <t>迷ったときに戻るページ。実効値・2PC境界・単位の誤解をほどく。</t>
  </si>
  <si>
    <t>21_出典と確認範囲</t>
  </si>
  <si>
    <t>42件の一次資料</t>
  </si>
  <si>
    <t>公式リンク、固定版、確認日、適用限界。</t>
  </si>
  <si>
    <t>22_動作イメージ</t>
  </si>
  <si>
    <t>時計と2PCの図解</t>
  </si>
  <si>
    <t>正常／期限直前／prepare／結果不明を色と矢印で理解。</t>
  </si>
  <si>
    <t>① 最初に見る図解</t>
  </si>
  <si>
    <t>項目</t>
  </si>
  <si>
    <t>やさしい説明・たとえ</t>
  </si>
  <si>
    <t>しくみ・技術上の事実</t>
  </si>
  <si>
    <t>設定判断・具体例・確認事項</t>
  </si>
  <si>
    <t>根拠ID</t>
  </si>
  <si>
    <t>最優先の結論</t>
  </si>
  <si>
    <t>先生がクラス全体の終わりの時間を決めることは、最後に2回確認する方式でも必要です。</t>
  </si>
  <si>
    <t>Narayanaの2PCを使ってもJTAトランザクションタイムアウトを考慮する。JTAは一連の業務処理の寿命を制限し、SQL間の計算・待ち・複数SQLを含む時間超過を検知する。SQLの期限だけでは、短いSQLを何十回も繰り返す処理を制限できない。</t>
  </si>
  <si>
    <t>2PCの利用はJTA不要の理由にならない。業務単位のJTA期限を有限にし、通常処理と失敗時の後始末の測定値から決める。</t>
  </si>
  <si>
    <t>S01 S18 S19</t>
  </si>
  <si>
    <t>JTAの限界</t>
  </si>
  <si>
    <t>ベルが鳴っても、電話の途中の人がその瞬間に席を立てるとは限りません。</t>
  </si>
  <si>
    <t>期限切れの検知、rollbackの依頼、SQL停止、接続返却、ロック解放、HTTP応答は別々の出来事。Reaperと業務スレッドは並行して動く。JTA=60秒でも、60秒で全スレッドと全DB資源が片付く保証はない。</t>
  </si>
  <si>
    <t>『60秒はタイムアウト検知の設定』と『最終結果が60秒以内に確定』を分ける。SQL取消・ネットワーク待ち・リカバリーを別に設計する。</t>
  </si>
  <si>
    <t>S19 S20 S21 S24</t>
  </si>
  <si>
    <t>2PCに入った後</t>
  </si>
  <si>
    <t>『みんなで買う』と帳面に書いた後に、先生だけが『やっぱり買わない』と変えると困ります。</t>
  </si>
  <si>
    <t>prepare前後の状態遷移、Narayanaのrunning判定、完了処理の排他により、JTA期限はXA prepare/commitの各呼出しを強制的に打ち切る保証にならない。永続化されたcommit決定後は、全参加者を同じcommit結果へ復旧する必要がある。</t>
  </si>
  <si>
    <t>commit前に余裕を残す。XA通信には適切なネットワーク期限を付ける。応答消失時は『失敗して未反映』と断定せず、結果照会と復旧へ進める。</t>
  </si>
  <si>
    <t>S19 S20 S21 S25</t>
  </si>
  <si>
    <t>名称を確定</t>
  </si>
  <si>
    <t>resourceは『担当係』、resumeは『再開する』です。似たつづりでも別の言葉です。</t>
  </si>
  <si>
    <t>依頼時のxa-resume-timeoutは、利用者回答によりxa-resource-timeoutの意味と確認済み。本書の4設定はJTA timeout、xa-resource-timeout、query-timeout、set-tx-query-timeout。標準EAP設定にxa-resume-timeoutを追加する例は示さない。</t>
  </si>
  <si>
    <t>以後の表・CLIでは正式名称xa-resource-timeoutを使う。Aurora自動停止からのresumeやJTA suspend/resumeとは区別する。</t>
  </si>
  <si>
    <t>Connector/J 9.7.0の決定的な点</t>
  </si>
  <si>
    <t>先生が担当係に『30秒で終えて』と頼んでも、係が『その時計は使えません』と答えます。</t>
  </si>
  <si>
    <t>MysqlXAConnectionのsetTransactionTimeout(int)はfalseを返し、getTransactionTimeout()は0を返す。xa-resource-timeoutを30や60にしても、このドライバーにMySQL XA branchの強制期限を設定する機能はない。JTA側のReaperは独立して動く。</t>
  </si>
  <si>
    <t>本環境のxa-resource-timeoutは0/未指定を基本候補にする。『XA=60秒なのでDBが自動rollbackする』という設計にしない。</t>
  </si>
  <si>
    <t>S08 S10 S17</t>
  </si>
  <si>
    <t>trueだけでは10秒にならない</t>
  </si>
  <si>
    <t>全体の残りが50秒なら、『一問10秒』と書いた紙より『残り50秒』の時計が使われる場合があります。</t>
  </si>
  <si>
    <t>IronJacamar 3.0.10の代表実装では、set-tx-query-timeout=trueかつJTA残り時間ありの場合、その残り時間を使用する。固定query-timeout=10との単純なmin計算はしない。アプリがStatement.setQueryTimeout(10)を明示した正の値は、残り時間との小さい方へ制限される。</t>
  </si>
  <si>
    <t>『固定SQL10秒＋JTAの残り』を両立したいなら、trueに加えて正のSQL個別timeoutを設定する。ORMを使う場合も生成Statementへの反映を実測する。</t>
  </si>
  <si>
    <t>S05 S06 S07</t>
  </si>
  <si>
    <t>出発点の4値</t>
  </si>
  <si>
    <t>全体60秒、一問10秒。担当係への効かない時計は0。全体の残りも見ながら進めます。</t>
  </si>
  <si>
    <t>検証用出発点：JTA 60秒、xa-resource-timeout 0、query-timeout 10秒、set-tx-query-timeout=true。追加の必須前提：アプリ/ORMがSQLごとに10秒の正の個別timeoutを設定し、Connector/JのenableQueryTimeouts=true。</t>
  </si>
  <si>
    <t>製品推奨の唯一解ではない。現在値・業務SLA・SQL数・p99・障害時の通信時間は未提供なので、本番確定値ではなく試験開始値として扱う。</t>
  </si>
  <si>
    <t>S01 S05 S10 S15</t>
  </si>
  <si>
    <t>周辺時間の出発点</t>
  </si>
  <si>
    <t>席待ち3秒、最初の電話5秒、鍵待ち5秒、返事のない電話30秒、画面の待ち90秒。</t>
  </si>
  <si>
    <t>例：pool blocking-timeout-wait-millis=3000、connectTimeout=5000、innodb_lock_wait_timeout=5、socketTimeout=30000、外側の応答期限90秒。JTA/SQL/行ロックは秒、pool/driver通信はミリ秒である。</t>
  </si>
  <si>
    <t>これらは別々の開始点・対象を持つため、並べただけでは全体上限を証明できない。特にsocketTimeoutはトランザクション全体の60秒とは別。</t>
  </si>
  <si>
    <t>S01 S13 S29</t>
  </si>
  <si>
    <t>後始末を残す</t>
  </si>
  <si>
    <t>チャイムぎりぎりまで工作せず、片付けの時間を先に取っておきます。</t>
  </si>
  <si>
    <t>例として2PC予定10秒、取消＋rollback予定15秒、安全余裕5秒を確保する。SQLを新しく始める前に、残り時間からmax(2PC予定,取消＋rollback予定)+安全余裕を引く。残りが足りない場合、新たなSQLを開始しない。</t>
  </si>
  <si>
    <t>set-tx-query-timeoutはこの余裕を自動では差し引かない。余裕はアプリの処理開始判定と業務予算で管理する。15秒は測定すべき仮の予算で、失敗時の厳密上限ではない。</t>
  </si>
  <si>
    <t>S05 S19 S21 / 設計例</t>
  </si>
  <si>
    <t>Aurora固有の条件</t>
  </si>
  <si>
    <t>『準備できた』と言った係を、返事待ちのまま置き去りにすると、ほかの人が鍵を使えなくなります。</t>
  </si>
  <si>
    <t>AWSはAurora MySQLのXAがPREPARED状態にあると復旧が長くなる可能性を挙げ、XAを避けることを推奨する。必要な場合は小さなXAとし、PREPAREDを放置しないとしている。これは『XAを使えない』という説明ではない。</t>
  </si>
  <si>
    <t>すでに2PCを使う前提では、短いトランザクション、永続object store、recovery接続・権限、PREPARED監視を必須の設計要素にする。</t>
  </si>
  <si>
    <t>S26 S27</t>
  </si>
  <si>
    <t>現環境への適合範囲</t>
  </si>
  <si>
    <t>教科書と同じでも、学校の道具の型番まで同じかを最後に確認します。</t>
  </si>
  <si>
    <t>利用者からEAP 8.1、Aurora MySQL 8.4.7、Connector/J 9.7.0が指定された。Connector/Jは9.7.0タグを確認。EAPの公開8.1.1 POMに対応するIronJacamar 3.0.10とNarayana 7.1.2の代表コードを確認したが、実機パッチは未確認。</t>
  </si>
  <si>
    <t>本番への適用前にEAP update番号、実際にロードされたJAR、datasourceクラス、ORM設定、XA参加者を記録する。現環境で動作試験を実施したという意味ではない。</t>
  </si>
  <si>
    <t>S04 S31 S32 S38</t>
  </si>
  <si>
    <t>読む順番</t>
  </si>
  <si>
    <t>まず結論、次にたとえ、最後に時計を触って確かめます。</t>
  </si>
  <si>
    <t>02で言葉を理解し、03で4設定の役割、08/09でSQL実効値、10/11で2PCの境界、12/13でAuroraと整合性、14/15で具体値、16/17で設定・実装、18/19で運用・試験を確認する。</t>
  </si>
  <si>
    <t>15_設定診断器の青いセルを変更すると計算が更新される。診断器は教育用モデルであり、実際のNarayanaやAuroraへの通信は行わない。</t>
  </si>
  <si>
    <t>本資料の構成</t>
  </si>
  <si>
    <t>お買い物の仕事</t>
  </si>
  <si>
    <t>学級の本を買うため、お金係は財布から100円引き、本係は本を1冊減らします。どちらかだけ進むと困ります。</t>
  </si>
  <si>
    <t>銀行残高の更新と在庫の更新を一つの業務として扱う。ここでは異なる2つのXA対応リソースが参加するものとする。DBとJMSが参加する例にも置き換えられる。</t>
  </si>
  <si>
    <t>現環境でAuroraだけの1RMなら1PC最適化もあり得る。たとえは実際の2PCを説明するために2参加者を置いている。</t>
  </si>
  <si>
    <t>S18 S21 S25</t>
  </si>
  <si>
    <t>トランザクション</t>
  </si>
  <si>
    <t>『お金を払う』と『本を受け取る』を一つのセットにします。途中でだめならセットごと戻します。</t>
  </si>
  <si>
    <t>業務上の一まとまりをトランザクションと呼ぶ。成功時の確定がcommit、取り消しがrollback。XAに参加した資源を整合した結果へそろえる。</t>
  </si>
  <si>
    <t>メール送信や外部HTTPのような非XA処理まで自動で戻るわけではない。どの資源がセットに参加しているかを明確にする。</t>
  </si>
  <si>
    <t>S18 S25</t>
  </si>
  <si>
    <t>JTA＝先生への共通の頼み方</t>
  </si>
  <si>
    <t>『開始』『確定』『取り消し』を、どの先生にも同じ言葉で頼めます。</t>
  </si>
  <si>
    <t>JTA/Jakarta TransactionsはアプリやコンテナとTMの間のJava API標準。UserTransactionやTransactionManagerは窓口で、具体的な監視・ログ・復旧を行う実装がNarayana。</t>
  </si>
  <si>
    <t>JTAはタイマーそのものの商品名ではない。EAPがJTA標準に従ってNarayanaを動かすと理解する。</t>
  </si>
  <si>
    <t>S02 S18</t>
  </si>
  <si>
    <t>Narayana＝実際の先生</t>
  </si>
  <si>
    <t>先生はみんなの返事を集め、決定を帳面に残し、休んだ係が戻ったら同じ決定を伝えます。</t>
  </si>
  <si>
    <t>TMはXidで各XA branchを追跡し、prepare、commit/rollbackを指示する。障害時にはログとRM側の準備済み情報を照合して処理を再開する。</t>
  </si>
  <si>
    <t>Narayanaには期限監視のReaperと、障害後のRecovery Managerがある。二つは役割が違う。</t>
  </si>
  <si>
    <t>S19 S24 S25</t>
  </si>
  <si>
    <t>XA＝係との約束</t>
  </si>
  <si>
    <t>どの係にも『この番号の仕事を準備して』『この番号を確定して』と同じ約束で頼めます。</t>
  </si>
  <si>
    <t>XAResourceはTMと資源の間のAPI。JDBCドライバーがDB向けのXA START、END、PREPARE、COMMIT、ROLLBACK等を送る。XA timeoutはこの窓口でRMに依頼する期限。</t>
  </si>
  <si>
    <t>窓口にメソッドがあることと、係がその機能を実装していることは別。setTransactionTimeoutの戻り値も確認する。</t>
  </si>
  <si>
    <t>S10 S17 S27</t>
  </si>
  <si>
    <t>SQL＝一問の仕事</t>
  </si>
  <si>
    <t>『赤い本を探す』『本の数を一つ減らす』は、それぞれ一問です。</t>
  </si>
  <si>
    <t>SELECT/UPDATE/INSERT等が個々のSQL。1トランザクション内に複数SQLがある。query-timeoutは各SQLを実行するStatementの待ち時間として設定される。</t>
  </si>
  <si>
    <t>SQLごと10秒でも、10個ならSQLだけで約100秒になり得る。全体時計も必要。</t>
  </si>
  <si>
    <t>S16 / 設計例</t>
  </si>
  <si>
    <t>ロック＝鍵</t>
  </si>
  <si>
    <t>同じ本を二人が同時に持っていかないよう、作業中の係が鍵を持ちます。</t>
  </si>
  <si>
    <t>行ロックなどは並行更新の整合性を守る。ロックを獲得するための待ち時間と、獲得済みロックを持っている時間は別。ロックはrollback/commitが完了するまで残り得る。</t>
  </si>
  <si>
    <t>innodb_lock_wait_timeoutは『鍵を待つ側』の期限。『鍵を持つ側』を強制終了する設定ではない。</t>
  </si>
  <si>
    <t>S29 S30</t>
  </si>
  <si>
    <t>JTA時計</t>
  </si>
  <si>
    <t>先生は『このお買い物セットは60秒まで』と決め、開始したときから数えます。</t>
  </si>
  <si>
    <t>JTA期限はtransaction beginからの時間。SQL間の計算、pool待ち、外部呼出し等がその時間枠内にあれば、SQLを実行していない間も残り時間が減る。</t>
  </si>
  <si>
    <t>beginの場所が大事。不要な入力検査や外部通信をtransaction外で行えば、ロック保持と期限消費を減らせる。</t>
  </si>
  <si>
    <t>S18 S22 / 設計判断</t>
  </si>
  <si>
    <t>SQL時計</t>
  </si>
  <si>
    <t>一問を解き始めたときに『10秒まで』の時計を動かします。</t>
  </si>
  <si>
    <t>Statement.setQueryTimeoutで設定した時間をSQL実行時にドライバーが監視する。全体時計とは開始時点が違う。正常終了するとそのSQLのタイマーは終わる。</t>
  </si>
  <si>
    <t>一問が終わってもJTA時計は初期値に戻らない。次のSQLには次のSQL時計がある。</t>
  </si>
  <si>
    <t>S12 S16</t>
  </si>
  <si>
    <t>set-txは時計の連動スイッチ</t>
  </si>
  <si>
    <t>全体の残りが4秒なら、次の一問に『4秒まで』と書き直します。</t>
  </si>
  <si>
    <t>trueなら実行直前にTMへ残り時間を照会し、JDBCの秒単位に変換してSQL timeoutを設定する。ブール値であり『何秒』を直接入れる設定ではない。</t>
  </si>
  <si>
    <t>このスイッチだけでは片付け時間が残らない。全体の残りを使い切る可能性がある。</t>
  </si>
  <si>
    <t>S05 S06</t>
  </si>
  <si>
    <t>固定値との落とし穴</t>
  </si>
  <si>
    <t>『一問10秒』の紙を置いても、連動スイッチが『残り50秒』を書いたら、その問題は50秒の時計になります。</t>
  </si>
  <si>
    <t>datasourceのquery-timeoutと、アプリがStatementに直接設定したtimeoutは設定層が違う。代表実装のtrue時は、固定datasource値を一律の上限として残さない。</t>
  </si>
  <si>
    <t>一問10秒を確実に意図するなら、アプリ/ORMで正の10秒を指定し、実測する。早見表で10/50/4の違いを確認する。</t>
  </si>
  <si>
    <t>S05 S07</t>
  </si>
  <si>
    <t>第一段階＝prepare</t>
  </si>
  <si>
    <t>先生が『二人とも本当に確定できる？』と聞き、係は準備を帳面に書いて『はい』と答えます。</t>
  </si>
  <si>
    <t>RMはcommit/rollbackの最終指示を待てるように準備済み状態を保持する。PREPAREDになっても業務はまだ完了しておらず、ロック等が残り得る。</t>
  </si>
  <si>
    <t>『prepare成功＝commit成功』と表示しない。準備済み状態を短くし、障害時に復旧可能な記録を保つ。</t>
  </si>
  <si>
    <t>S25 S27</t>
  </si>
  <si>
    <t>第二段階＝commit</t>
  </si>
  <si>
    <t>全員の『はい』を確認した先生が『買う』と帳面に書き、それぞれに伝えます。</t>
  </si>
  <si>
    <t>2PCのcommit決定を永続化してから各RMへ確定を送る。通信が切れても、復旧時には同じ決定にそろえる。応答が届かないだけで、一方はcommit済みの場合がある。</t>
  </si>
  <si>
    <t>返事がないことと未反映は同じでない。障害時は照会・再送・recoveryで解決する。</t>
  </si>
  <si>
    <t>S21 S25</t>
  </si>
  <si>
    <t>ベルの後の片付け</t>
  </si>
  <si>
    <t>ベルで先生が『やめよう』と言っても、係が電話中なら、電話が終わってから片付けることがあります。</t>
  </si>
  <si>
    <t>タイムアウト検知は非同期。rollbackがSQLと同じ接続のロックで待つ、ドライバーが取消通信を行う、DBがundoを行う等の遅れがあり得る。</t>
  </si>
  <si>
    <t>検知時刻、SQLから戻った時刻、rollback完了、ロック解放を別々に測る。</t>
  </si>
  <si>
    <t>S11 S19 S21</t>
  </si>
  <si>
    <t>preparedの係は勝手に帰れない</t>
  </si>
  <si>
    <t>『先生が買うと決めたかもしれない』ので、準備済みの係は勝手に本を棚へ戻せません。</t>
  </si>
  <si>
    <t>2PCは障害時にblockingとなり得る。PREPARED RMは最終決定を知るまで資源を保持する必要がある。期限だけで勝手に逆の決定をするとheuristic不整合を招く。</t>
  </si>
  <si>
    <t>prepared XAを見つけても機械的に強制rollbackしない。TMの決定ログと所有者を照合する。</t>
  </si>
  <si>
    <t>S25 S26 S27</t>
  </si>
  <si>
    <t>復旧＝帳面を見て続ける</t>
  </si>
  <si>
    <t>先生が休んでも、帳面が残っていれば、次の先生が同じ決定を伝えられます。</t>
  </si>
  <si>
    <t>永続object storeとXA RECOVERを用いるrecoveryが、障害後に未解決branchを処理する。通常処理のJTA期限が過ぎていても、整合した結果へ解決する作業は続く。</t>
  </si>
  <si>
    <t>object storeを一時ディスクに置いて失わない。node-identifier、RMへの接続、認証、権限を確認する。</t>
  </si>
  <si>
    <t>S01 S03 S24</t>
  </si>
  <si>
    <t>JTA timeout</t>
  </si>
  <si>
    <t>セット全体の時計。先生が測ります。</t>
  </si>
  <si>
    <t>設定場所：/subsystem=transactionsのdefault-timeout。単位：秒。標準既定：300秒。個別トランザクションの指定があればその値が対象。起点：begin。対象：transactionの有効な活動期間。実装：Narayana/Reaper。</t>
  </si>
  <si>
    <t>本環境の検証候補60秒。全体寿命の管理に必要。SQL取消、XA通信の厳密な上限、recoveryの総時間を保証する時計ではない。</t>
  </si>
  <si>
    <t>xa-resource-timeout</t>
  </si>
  <si>
    <t>先生が各係へお願いする時計。係が対応している必要があります。</t>
  </si>
  <si>
    <t>設定場所：XA datasource。単位：秒。0/未指定が基本既定。非ゼロはXAResource.setTransactionTimeoutへ渡される。対象：RM側のXA branch timeout。JDBCのsetQueryTimeoutとは別。</t>
  </si>
  <si>
    <t>Connector/J 9.7.0はfalseを返すので、本環境では期限の根拠に使えない。0候補。XAコマンド1回の通信timeoutではない。</t>
  </si>
  <si>
    <t>S01 S08 S10 S17</t>
  </si>
  <si>
    <t>query-timeout</t>
  </si>
  <si>
    <t>一問の時計。問題を渡す係が設定し、ドライバーが動かします。</t>
  </si>
  <si>
    <t>設定場所：datasource。単位：秒。未指定/実装初期値0は期限を設定しない。対象：StatementによるSQL実行。起点：各SQL実行時。IronJacamarがJDBCドライバーへ設定する。</t>
  </si>
  <si>
    <t>検証候補10秒。true時のJTA内では固定値が優先されない点に注意。アプリのStatement個別値と区別する。</t>
  </si>
  <si>
    <t>S01 S05 S09 S16</t>
  </si>
  <si>
    <t>set-tx-query-timeout</t>
  </si>
  <si>
    <t>全体の残りに一問の時計を合わせるスイッチです。</t>
  </si>
  <si>
    <t>設定場所：datasource。型：BOOLEAN、単位なし。代表実装の初期値false。trueならSQL実行前にtransactionの残り時間を照会し、正の値が得られればそれをtimeoutに利用。</t>
  </si>
  <si>
    <t>候補true＋アプリ/ORMの正の個別10秒。設定だけで2PC予算やrollback予算を差し引く機能はない。</t>
  </si>
  <si>
    <t>S01 S05 S06 S09</t>
  </si>
  <si>
    <t>同じ60でも意味が違う</t>
  </si>
  <si>
    <t>『授業60秒』と『一問60秒』と『電話60秒』は同じ数字でも同じ時計ではありません。</t>
  </si>
  <si>
    <t>時間の開始点と対象が異なる。JTAはbeginから、queryはSQL開始から、connectは接続開始、socketは通信待ち、lock waitは行ロック待ちから。数字の単純な大小だけでは期限の先後は分からない。</t>
  </si>
  <si>
    <t>比較には絶対時刻へ変換する。JTA締切=begin時刻+JTA値、SQLの予定締切=SQL開始時刻+実効query値。</t>
  </si>
  <si>
    <t>S13 S16 S18 S29 / 設計判断</t>
  </si>
  <si>
    <t>JTA APIで0</t>
  </si>
  <si>
    <t>『いつもの時間に戻して』という意味の0です。</t>
  </si>
  <si>
    <t>UserTransaction.setTransactionTimeout(0)は実装既定へ戻す指定で、無制限を要求する意味ではない。setTransactionTimeoutはこのスレッドが後で開始するtransactionに適用し、すでに開始したtransactionの期限を延長する操作ではない。</t>
  </si>
  <si>
    <t>個別60秒を設定するならbeginより前に呼ぶ。最後に0へ戻す例はAPIの既定復帰。CMTではコンテナの設定手段を使う。</t>
  </si>
  <si>
    <t>S18</t>
  </si>
  <si>
    <t>EAP default-timeoutで0</t>
  </si>
  <si>
    <t>サーバーの0には、別に用意された長い時間が代わりに使われる場合があります。</t>
  </si>
  <si>
    <t>EAP 8.1公式referenceは、0のtransaction timeoutにmaximum-timeoutを使用すると説明する。maximum-timeoutの既定は31536000秒（365日）。APIの0＝既定復帰と混同しない。</t>
  </si>
  <si>
    <t>default-timeout=0を『確実に無制限』として使わない。maximum-timeoutも含めた実際の設定を読んで、有限の業務期限を明示する。</t>
  </si>
  <si>
    <t>S01 S18</t>
  </si>
  <si>
    <t>queryで0</t>
  </si>
  <si>
    <t>この時計では『一問の時間制限なし』です。</t>
  </si>
  <si>
    <t>JDBC Statement.setQueryTimeout(0)の契約は期限なし。ただしEAPラッパーは実行前にdatasource設定やJTA残りから再設定できる。アプリで0を指定すればEAPの自動設定も無効になる、とは限らない。</t>
  </si>
  <si>
    <t>正の個別timeoutを使う。診断器の個別値0は『新しいStatementで正の明示値なし』のモデルであり、自動設定を解除する操作のモデルではない。</t>
  </si>
  <si>
    <t>S05 S07 S16</t>
  </si>
  <si>
    <t>XA APIで0</t>
  </si>
  <si>
    <t>各係の『いつもの時間』へ戻す意味です。</t>
  </si>
  <si>
    <t>XAResource.setTransactionTimeout(0)はRM既定へ戻す標準契約。EAPのxa-resource-timeout=0は『EAPの非ゼロ明示指定をしない』意味として扱う。Narayana自身がenlist時にJTA値の伝播を試みる機構は別に存在する。</t>
  </si>
  <si>
    <t>Connector/Jではどちらの呼出しもRM期限を設定できない。『XA=0だからJTA=無制限』という関係はない。</t>
  </si>
  <si>
    <t>S08 S10 S17 S23</t>
  </si>
  <si>
    <t>通信で0</t>
  </si>
  <si>
    <t>電話の返事を待つ時間制限を置かない0です。</t>
  </si>
  <si>
    <t>Connector/JのconnectTimeout、socketTimeoutはミリ秒で、既定0。query-timeout=10とは型・単位が違う。EAP poolのblocking-timeout-wait-millisもミリ秒。</t>
  </si>
  <si>
    <t>10秒のつもりでsocketTimeout=10とすると10ミリ秒になる。表とCLIは単位を必ず併記する。</t>
  </si>
  <si>
    <t>S01 S13</t>
  </si>
  <si>
    <t>最大値の誤解</t>
  </si>
  <si>
    <t>『特別な長い時間』は、すべての時間指定を小さくするハサミとは限りません。</t>
  </si>
  <si>
    <t>EAP maximum-timeoutはreference上、0を指定した場合の代替値として説明される。任意の正の個別timeoutをすべて必ずそこまでに切り詰める設定だと、この説明だけから断定しない。</t>
  </si>
  <si>
    <t>正の個別指定の上限ポリシーが必要なら、実装確認と設定審査を行う。名前だけで挙動を推測しない。</t>
  </si>
  <si>
    <t>S01</t>
  </si>
  <si>
    <t>一つの台帳から始まる問題</t>
  </si>
  <si>
    <t>昔も今も、お金だけ減って本が届かないと困ります。</t>
  </si>
  <si>
    <t>一つのDB内ならDBのcommit/rollbackで更新をまとめられる。途中の故障でもデータの整合性を守るため、トランザクション、ログ、ロックという仕組みが発達した。ここは登場の背景説明であり、特定の発明年を主張していない。</t>
  </si>
  <si>
    <t>一つのDBの機能だけでは、別DBやメッセージシステムを同じ結果にそろえる課題が残る。</t>
  </si>
  <si>
    <t>S25</t>
  </si>
  <si>
    <t>複数の台帳へ広がる</t>
  </si>
  <si>
    <t>お金係と本係が別の部屋にいると、同時に『できた』にする相談が必要です。</t>
  </si>
  <si>
    <t>分散システムで複数RMのcommit決定を合わせる必要が生まれ、2PCなどの原子的commit方式が使われる。単に二つのローカルcommitを順に行うと、後の失敗時に前だけ確定済みとなり得る。</t>
  </si>
  <si>
    <t>2PCが解くのは複数資源の結果の一致。遅い処理を必ず短時間に終える課題は別である。</t>
  </si>
  <si>
    <t>1990年代前半：XA標準</t>
  </si>
  <si>
    <t>いろいろな会社の係にも、同じ言葉で準備と確定を頼めるようにしました。</t>
  </si>
  <si>
    <t>The Open Groupの歴史資料には、1992年のC193としてDistributed TP: The XA Specificationが記載される。TMとRMの共通インターフェースにより、異なる資源を同じtransactionへ参加させる土台となった。</t>
  </si>
  <si>
    <t>XAResourceのtimeoutも共通窓口の機能だが、RMが非対応ならfalseという契約がある。標準化は全DBの全機能の一律実装を意味しない。</t>
  </si>
  <si>
    <t>S17 S35</t>
  </si>
  <si>
    <t>JavaのDBアクセス標準：JDBC</t>
  </si>
  <si>
    <t>Javaで書いた係が、いろいろな台帳へ同じ書き方で問いかけられるようにしました。</t>
  </si>
  <si>
    <t>JDBCのStatementはSQL実行、結果取得、取消、SQL timeoutなどのAPIを提供する。アプリは共通APIを使い、DB別の通信はドライバーが実装する。この分離がドライバーごとの取消方式・限界の違いを生む。</t>
  </si>
  <si>
    <t>SQL単位の遅延・ロック待ちを制限するquery timeoutが必要になった。transaction全体の時間管理を置き換えるものではない。</t>
  </si>
  <si>
    <t>S16</t>
  </si>
  <si>
    <t>Javaのtransaction標準：JTA</t>
  </si>
  <si>
    <t>先生へ頼む言葉も統一し、買い物セットの開始と終わりを決められるようにしました。</t>
  </si>
  <si>
    <t>JTAは業務アプリ、アプリサーバー、TMをつなぐAPIを定義する。EJBなどのコンテナ管理では、アプリが毎回開始・確定を書かなくてもコンテナが境界を扱う。XAリソース登録・同期・復旧と協働する。</t>
  </si>
  <si>
    <t>業務全体が長くなりすぎる問題にはJTA timeoutを置く。個々のSQLが短くても必要な全体時計である。</t>
  </si>
  <si>
    <t>接続プールとアダプター</t>
  </si>
  <si>
    <t>毎回係を一から呼ばず、待機している係に仕事を渡すと速くなります。</t>
  </si>
  <si>
    <t>アプリサーバーが接続プールとJCAアダプターを管理し、SQL設定とtransactionを接続する。EAPではIronJacamarが接続・Statementを包み、必要なチェックと設定を行う。</t>
  </si>
  <si>
    <t>物理接続は再利用される。session変数、Statement timeout、壊れた接続の扱いが次の仕事へ持ち越されないか確認する必要がある。</t>
  </si>
  <si>
    <t>S03 S07 S08 S37</t>
  </si>
  <si>
    <t>連動スイッチが必要になった理由</t>
  </si>
  <si>
    <t>全体の残りが3秒なのに、最後の一問に30秒使おうとすると矛盾します。</t>
  </si>
  <si>
    <t>固定のSQL timeoutはSQL開始からの時間。JTA締切が近くてもその固定値を待ち続けると、Reaperのrollbackと業務SQLが競合する。set-tx-query-timeoutは残り時間をSQL timeoutへ渡す橋渡しとして理解できる。</t>
  </si>
  <si>
    <t>これは設計目的を挙動から説明したもの。正確な初登場年月や開発者の意図を裏付けなく断定しない。</t>
  </si>
  <si>
    <t>S05 S06 S37 / 背景の解釈</t>
  </si>
  <si>
    <t>XA timeoutが別に必要な理由</t>
  </si>
  <si>
    <t>先生の時計が止まっても、係の部屋にも時計があれば、作業中の放置を減らせることがあります。</t>
  </si>
  <si>
    <t>TM側期限とは別に、RM側が活動中branchを監視することには意味がある。長いtransactionではRMの短い既定が先に切れないよう調整する必要もある。ただしprepared後の原子的commitとRMの実装制限を守る必要がある。</t>
  </si>
  <si>
    <t>本環境ではConnector/Jが設定機能に対応しないため、歴史上の役割と現在の実効性を区別する。</t>
  </si>
  <si>
    <t>S17 S23 S25</t>
  </si>
  <si>
    <t>Narayanaの長い系譜</t>
  </si>
  <si>
    <t>先生役の道具は、障害があっても帳面から続ける経験を長い間積んでいます。</t>
  </si>
  <si>
    <t>Narayana公式サイトは30年以上のtransaction処理の歴史を持つ技術として説明する。Arjuna/JBoss Transactionsの系譜を持つTMであるが、本書では名称変更の厳密な年を未確認のまま記さない。</t>
  </si>
  <si>
    <t>歴史が長くても『commit通信が必ずJTA秒数以内』という保証は生まれない。仕様と現実装の境界を見る。</t>
  </si>
  <si>
    <t>S24 S25 S39</t>
  </si>
  <si>
    <t>2000年代：MySQLの取消機能</t>
  </si>
  <si>
    <t>問題が長すぎたとき、別の電話で『その問題を中止して』と伝える仕組みが加わりました。</t>
  </si>
  <si>
    <t>Connector/Jの公式propertiesはenableQueryTimeoutsが5.0.6から、queryTimeoutKillsConnectionが5.1.9から存在すると示す。現在の9.7.0でもタイマーと取消通信の具体的実装を確認できる。</t>
  </si>
  <si>
    <t>機能をONにするだけで、障害中の取消通信が成功する保証はない。query deadlineとsocket deadlineを両方考える背景になる。</t>
  </si>
  <si>
    <t>S11 S14 S15</t>
  </si>
  <si>
    <t>2020年：Jakartaへの名前移行</t>
  </si>
  <si>
    <t>窓口の看板はJavaからJakartaへ変わっても、買い物の約束は続きます。</t>
  </si>
  <si>
    <t>Jakarta Transactions 2.0は2020年の版でjakarta.*名前空間へ移行した。EAP 8.1ではJTAのUserTransaction等はjakarta.transactionを使う。一方、JDBCとXAResourceはJava SE型としてjava.sql、javax.sql、javax.transaction.xaに残る。</t>
  </si>
  <si>
    <t>古いサンプルのjavax.transaction.UserTransactionをそのままEAP 8.1へコピーしない。XAResourceまでjakartaへ書き換えるのも誤り。</t>
  </si>
  <si>
    <t>S17 S18 S36</t>
  </si>
  <si>
    <t>2026年：今回の利用バージョン</t>
  </si>
  <si>
    <t>いま使っている道具の型番を固定して、その道具の説明を読みます。</t>
  </si>
  <si>
    <t>Connector/J 9.7.0の公式release notesは2026-04-22、Aurora MySQL 8.4.7は2026-05-21。利用者指定のこの組合せを対象に、最新公開資料と固定タグのコードを照合した。</t>
  </si>
  <si>
    <t>『最新情報』は現在読める仕様を確認すること。利用中9.7.0を最新ドライバーと呼んだり、無断で別版へ変えたりしない。</t>
  </si>
  <si>
    <t>S31 S32</t>
  </si>
  <si>
    <t>Serverlessで新たに増える時間</t>
  </si>
  <si>
    <t>係の部屋が眠っていたり、人数を増やす途中だったりすると、呼び出してから少し待つことがあります。</t>
  </si>
  <si>
    <t>Serverless v2の容量範囲、スケーリング、最小0 ACUの場合の自動停止/再開は、接続・処理時間の分布を変える。これはJTA/XA resumeの期限ではなく、クラウドDBの接続・性能・可用性の要因。</t>
  </si>
  <si>
    <t>固定インスタンス時の平均時間だけで値を決めない。低ACU時、負荷上昇、復帰、フェイルオーバーを含めて測定する。</t>
  </si>
  <si>
    <t>S33 S34</t>
  </si>
  <si>
    <t>時計を開始する場所</t>
  </si>
  <si>
    <t>お買い物を始める宣言から60秒を数えます。</t>
  </si>
  <si>
    <t>Narayanaのtransaction begin時に期限情報が登録され、Reaperが監視する。BMTではUserTransaction.begin、CMTではコンテナが必要に応じてtransactionを開始する。SQL1本の開始と同じ時刻とは限らない。</t>
  </si>
  <si>
    <t>処理ログにtransaction開始時刻とSQL開始時刻を残す。『getConnectionから60秒』などの思い込みを避ける。</t>
  </si>
  <si>
    <t>S18 S22</t>
  </si>
  <si>
    <t>何もしない間も時間が減る</t>
  </si>
  <si>
    <t>仕事をせず相談している時間も、授業の残りは減ります。</t>
  </si>
  <si>
    <t>transactionが有効なままCPU処理、Thread.sleep、pool待ち、外部API待ちを行えばJTA残り時間は減る。query-timeoutはSQLを実行していないこの時間を制限しない。</t>
  </si>
  <si>
    <t>短いSQLを連続実行してtransaction全体が長引く場合にもJTAが必要。外部APIのtimeoutも独立して設定する。</t>
  </si>
  <si>
    <t>S18 S19 S22 / 設計判断</t>
  </si>
  <si>
    <t>既定300秒の位置づけ</t>
  </si>
  <si>
    <t>学校に最初から置かれた時間が、すべての授業にちょうどよいとは限りません。</t>
  </si>
  <si>
    <t>EAP 8.1のdefault-timeout既定は300秒。これは個々の業務要件から計算された値ではなく、指定のないtransactionへ使うサーバー既定である。長いほど接続・ロック・スレッドの滞留が増える場合がある。</t>
  </si>
  <si>
    <t>オンライン業務はSLAと測定に合う個別期限を検討する。バッチに合わせて全サーバーを長くする前に、transaction分割や個別指定を考える。</t>
  </si>
  <si>
    <t>S01 / 設計判断</t>
  </si>
  <si>
    <t>個別指定の時点</t>
  </si>
  <si>
    <t>次の授業の長さは、授業を始める前に決めます。</t>
  </si>
  <si>
    <t>UserTransaction.setTransactionTimeout(60)は、そのスレッドが次に開始するtransactionのtimeoutを指定する。begin後に呼んでも、現在のtransactionの残り時間を60秒へリセットする契約ではない。</t>
  </si>
  <si>
    <t>BMTの例はsetTransactionTimeout→begin→業務→commitの順にする。スレッド再利用のため、後で0に戻す。</t>
  </si>
  <si>
    <t>CMTとBMT</t>
  </si>
  <si>
    <t>先生が進める授業と、自分で始める授業では、時計の決め方が違います。</t>
  </si>
  <si>
    <t>CMTではtransaction境界をコンテナが管理し、アプリがUserTransactionで自由にbegin/commitする方式を採らない。BMTならUserTransactionを使える。EAP固有のEJB timeout設定やdescriptorは、transactionが新規に開始される場所で有効になる。</t>
  </si>
  <si>
    <t>17のUserTransaction例はBMT用。CMTへそのまま挿入しない。CDIの@Transactionalには秒数timeout属性がないので、利用中の方式に応じて設定する。</t>
  </si>
  <si>
    <t>REQUIREDの参加</t>
  </si>
  <si>
    <t>すでに始まっている授業へ途中参加しても、終了時刻は延びません。</t>
  </si>
  <si>
    <t>既存transactionに参加するREQUIRED呼出しは同じtransactionの期限を共有する。呼出し先に新しいtimeoutを記しても、呼出し元のtransactionを新しく開始し直す意味にはならない。</t>
  </si>
  <si>
    <t>どのメソッドがtransactionの最初の境界なのかを追跡する。新しい期限が必要なら、境界設計を検討する。</t>
  </si>
  <si>
    <t>REQUIRES_NEWとsuspend</t>
  </si>
  <si>
    <t>別の授業を始めても、元の授業の壁時計が止まるとは限りません。</t>
  </si>
  <si>
    <t>REQUIRES_NEWは別transactionを開始し、元のtransactionをスレッドから一時的に外す。Narayanaではsuspendはassociationを外す操作で、元のReaper登録を解除して期限を停止する操作ではない。</t>
  </si>
  <si>
    <t>内側の処理中に外側transactionが期限切れになり得る。『一時停止で寿命も止まる』と設計しない。</t>
  </si>
  <si>
    <t>Reaperの仕事</t>
  </si>
  <si>
    <t>先生とは別に見回り係が時計を見て、長すぎる仕事を取り消すよう知らせます。</t>
  </si>
  <si>
    <t>TransactionReaperは期限切れtransactionを見つけ、workerでcancelを試みる。状態や失敗によってrollback-onlyへの設定、警告ログ、後処理が行われる。アプリのSQL実行スレッドとは別である。</t>
  </si>
  <si>
    <t>ARJUNA012117を『SQLを確実に停止した証拠』にしない。トランザクション状態とDB状態も確認する。</t>
  </si>
  <si>
    <t>S19</t>
  </si>
  <si>
    <t>rollback-only</t>
  </si>
  <si>
    <t>『もう成功として終われません。最後は取り消します』と印を付けます。</t>
  </si>
  <si>
    <t>rollback-onlyは最終的なcommitを許さないという状態。アプリが例外をcatchして処理を続けても、transactionが正常にcommitできるとは限らない。状態変更と物理rollback完了は別。</t>
  </si>
  <si>
    <t>timeoutや業務上の必須SQL失敗後は次のSQLを続けず、transactionを終了する方針を明示する。</t>
  </si>
  <si>
    <t>S18 S19 S23</t>
  </si>
  <si>
    <t>業務スレッドは強制停止されない</t>
  </si>
  <si>
    <t>見回り係がベルを鳴らしても、電話中の人の電話が自動で切れるとは限りません。</t>
  </si>
  <si>
    <t>ReaperはJavaのすべてのCPU処理やネットワークI/OをJTA秒数で一律終了させる機構ではない。SQLドライバーのロックやI/O待ちがあり、rollback側も待つ可能性がある。</t>
  </si>
  <si>
    <t>クエリ取消とsocket timeoutを設定する。外部API、ロック取得、CPUループのキャンセル協調も個別に設計する。</t>
  </si>
  <si>
    <t>beforeCompletionも業務の一部</t>
  </si>
  <si>
    <t>先生が確定の相談を始める前に、係が最後の宿題を提出することがあります。</t>
  </si>
  <si>
    <t>commit呼出しに伴うbeforeCompletionでORMのflush等のSQLが実行され得る。アプリの最後のメソッド行と最後のDB操作は同じではない。代表コードではbeforeCompletion後にBasicAction.Endへ進む。</t>
  </si>
  <si>
    <t>flushのSQL・待ち時間も予算に入れる。『SQLをすべて終えてからcommitが始まる』というログの読み方に注意する。</t>
  </si>
  <si>
    <t>S20 S21</t>
  </si>
  <si>
    <t>60秒を超えてcommitする可能性</t>
  </si>
  <si>
    <t>最後の相談を始めたら、ベルが鳴っても、帳面をそろえるため少し続くことがあります。</t>
  </si>
  <si>
    <t>代表Narayana実装のrunning判定はRUNNING/ABORT_ONLY。prepare/commitへ進んだ状態ではReaperのcancel条件に該当しないことがあり、完了処理との競合もある。JTA期限超過が常にcommit阻止へ直結するわけではない。</t>
  </si>
  <si>
    <t>commitを期限ぎりぎりに開始しない。JTAをXA呼出しのwatchdogとして使わず、2PC通信の失敗を検証する。</t>
  </si>
  <si>
    <t>S19 S20 S21</t>
  </si>
  <si>
    <t>最終応答の意味</t>
  </si>
  <si>
    <t>画面に『時間切れ』が出ても、本を買ったかどうかは帳面で確かめる必要があります。</t>
  </si>
  <si>
    <t>クライアントやproxyが先にtimeoutした場合、サーバーtransactionは動作中またはcommit済みの場合がある。JTA timeout、HTTP timeout、結果不明を同じ『未実行』状態にまとめない。</t>
  </si>
  <si>
    <t>取引ID・冪等キーで最終結果を照会できる設計にする。単純な自動再実行で二重購入を起こさない。</t>
  </si>
  <si>
    <t>S21 S25 / 設計判断</t>
  </si>
  <si>
    <t>長くする前に見るもの</t>
  </si>
  <si>
    <t>時間を延ばす前に、探し方が悪いのか、鍵を待っているのか調べます。</t>
  </si>
  <si>
    <t>SQL実行計画、行ロック保持元、pool枯渇、外部通信、ACU上限、prepare/commit遅延を分けて測る。期限延長は低速処理やロック競合の根本対策ではない。</t>
  </si>
  <si>
    <t>JTA・query・socketを同時に一律延長すると、原因が見えにくくなり資源滞留も長くなる。測定した原因ごとに直す。</t>
  </si>
  <si>
    <t>S03 S29 S34 / 設計判断</t>
  </si>
  <si>
    <t>名前のresource</t>
  </si>
  <si>
    <t>お金係や本係がresourceです。再開resumeとは違います。</t>
  </si>
  <si>
    <t>XAのRMはDBやメッセージシステムなどの資源管理者。xa-resource-timeoutはXAResource.setTransactionTimeoutを通じてRMに渡す設定。JTA resumeやAuroraの再開待ち時間を指定する属性ではない。</t>
  </si>
  <si>
    <t>利用者に確認済みの正式名をCLIと設計書に統一する。</t>
  </si>
  <si>
    <t>S01 S17 S28 S33</t>
  </si>
  <si>
    <t>JTAとXA branch</t>
  </si>
  <si>
    <t>全体の買い物番号と、各係の仕事番号を結びます。</t>
  </si>
  <si>
    <t>一つのglobal transactionに、RMごとのXA branchが参加する。Xidのglobal transaction idとbranch qualifier等で識別する。JTA側の全体管理とRM側のbranch管理は別の層である。</t>
  </si>
  <si>
    <t>JTAのUID、Xid、DB connection idを関連づけられるようにログと監視を設計する。</t>
  </si>
  <si>
    <t>S17 S23 S27</t>
  </si>
  <si>
    <t>設定からメソッドまで</t>
  </si>
  <si>
    <t>設定用紙に書いた秒数を、先生が係へお願いとして渡します。</t>
  </si>
  <si>
    <t>EAPのXA datasource設定はIronJacamar connection managerへ渡される。非ゼロのxa-resource-timeoutではXAResource.setTransactionTimeoutを呼び、trueなら明示設定として扱い、falseなら非対応として記録する代表実装を確認した。</t>
  </si>
  <si>
    <t>管理CLIがsuccessでもDB側の期限設定成功とは限らない。管理設定の受理とXAResourceの機能を区別する。</t>
  </si>
  <si>
    <t>S08</t>
  </si>
  <si>
    <t>標準APIの契約</t>
  </si>
  <si>
    <t>係は対応できたら『はい』、対応できなければ『その機能はありません』と答えます。</t>
  </si>
  <si>
    <t>XAResource.setTransactionTimeout(seconds)は成功true、非対応falseという契約。secondsは秒。0はRMの既定値へ戻す指定。設定した期限は別値を指定するまでXAResourceインスタンスに有効というAPI契約を持つ。</t>
  </si>
  <si>
    <t>すべてのDBが対応すると思わない。RMごとに戻り値・仕様・時間の起点・prepared後の扱いを確認する。</t>
  </si>
  <si>
    <t>S17</t>
  </si>
  <si>
    <t>9.7.0を固定して確認</t>
  </si>
  <si>
    <t>今回使う型番の道具を開いて、時計の機能があるかを確かめました。</t>
  </si>
  <si>
    <t>MysqlXAConnection.setTransactionTimeout(int)はfalseを返すだけでDBへtimeoutを送信しない。getTransactionTimeoutは0。通常のConnector/J XA実装で、MySQL XA branchの期限をこのAPIから設定できない。</t>
  </si>
  <si>
    <t>値を60にして『DBが60秒で自動処理する』と記載しない。JTA側の期限監視と別であることを明確にする。</t>
  </si>
  <si>
    <t>S10</t>
  </si>
  <si>
    <t>0候補の根拠</t>
  </si>
  <si>
    <t>使えない時計へ数字を書いても、見た目だけになります。</t>
  </si>
  <si>
    <t>Connector/JにRM timeout設定機能がないため、xa-resource-timeout=0/未指定を候補とする。これはJTAやquery timeoutを無効にする操作ではない。非ゼロ指定の存在だけでは、DBのbranch寿命は制限されない。</t>
  </si>
  <si>
    <t>現在非ゼロでも、まず実際のドライバー・独自ラッパーの有無を確認する。実機への変更は検証・構成管理の手順で行う。</t>
  </si>
  <si>
    <t>Narayanaからの伝播も別</t>
  </si>
  <si>
    <t>先生自身も各係へ時間を伝えることがありますが、係が非対応なら同じです。</t>
  </si>
  <si>
    <t>NarayanaのxaTransactionTimeoutEnabledによるenlist時のsetTransactionTimeout呼出しは、datasourceの明示指定とは別の経路。代表TransactionImpleはtransactionのtimeout値を渡す。残り時間をSQLへ連動させる機構とは異なる。</t>
  </si>
  <si>
    <t>『datasource XA=0ならTMも一切setterを呼ばない』とは言わない。本環境ではいずれの経路もMySQL RMの期限を設定できない。</t>
  </si>
  <si>
    <t>S10 S23</t>
  </si>
  <si>
    <t>XA=JTAにそろえるだけでは不足</t>
  </si>
  <si>
    <t>先生と係に同じ60秒と伝えても、仕事を始めた時刻が違えば終了時刻は違います。</t>
  </si>
  <si>
    <t>対応するRMでも、branchの開始時点、timeoutの伝播・上書き順序、経過時間、prepareでの扱いに違いがある。固定XA秒数とglobal JTA秒数を一致させるだけで整合性を証明できない。</t>
  </si>
  <si>
    <t>他RMに移る場合はRM仕様を確認。JTAより短いRM期限で先にrollbackされるケースと、preparedの最終決定待ちを分ける。</t>
  </si>
  <si>
    <t>S17 S23 S25 / 設計判断</t>
  </si>
  <si>
    <t>XAコマンドの1回待ちではない</t>
  </si>
  <si>
    <t>係の仕事全体の時計と、一回の電話の返事待ちは別です。</t>
  </si>
  <si>
    <t>xa-resource-timeoutはXAResource.prepare/commit/rollback呼出しごとの通信時間上限を直接設定する属性ではない。XAResource.setTransactionTimeoutで指定するRM側のtransaction timeoutである。</t>
  </si>
  <si>
    <t>prepare/commitの通信待ちを制限したい場合は、ドライバーのsocket timeout等と通信経路を検討する。</t>
  </si>
  <si>
    <t>S10 S13 S17</t>
  </si>
  <si>
    <t>内部のXA SQL</t>
  </si>
  <si>
    <t>先生は一般の問題用紙とは別に、係へ『確定』という指示を送ります。</t>
  </si>
  <si>
    <t>Connector/JのXA操作は物理接続のcreateStatement→execute("XA ...")で送られる。その内部StatementにEAPのquery-timeoutやset-tx-query-timeoutが自動で適用される構造ではない。</t>
  </si>
  <si>
    <t>通常SQLの10秒timeoutを、XA PREPARE/COMMITの10秒保証として扱わない。socket設定がこの物理接続に適用されているか確かめる。</t>
  </si>
  <si>
    <t>S10 S13</t>
  </si>
  <si>
    <t>prepared後の原則</t>
  </si>
  <si>
    <t>『準備して待つ』と約束した係は、先生の決定を勝手に変えられません。</t>
  </si>
  <si>
    <t>2PCでpreparedしたRMは、最終決定を知らずに自律的な逆の結果を選ぶと原子性を損なう。heuristicはそのような例外的結果として別に扱う。通常の活動時間期限とprepared後の決定待ちを同一視しない。</t>
  </si>
  <si>
    <t>XA timeoutが対応する他DBでも、prepared branchを必ず時間で安全に消す機能と考えない。</t>
  </si>
  <si>
    <t>XA RECOVER</t>
  </si>
  <si>
    <t>係の帳面を見て、準備できたまま返事を待つ仕事番号を調べます。</t>
  </si>
  <si>
    <t>XA RECOVERはMySQL側のPREPARED XA transactionを列挙する。活動中のすべてのJTA transactionや、アプリの全SQLを表示する命令ではない。接続が変わっても残るprepared情報を照会できる。</t>
  </si>
  <si>
    <t>空のXA RECOVERだけで『全transactionなし』とは言わない。権限不足、接続先writer、対象RMも確認する。</t>
  </si>
  <si>
    <t>S10 S27</t>
  </si>
  <si>
    <t>JTA suspend/resumeとの違い</t>
  </si>
  <si>
    <t>席を一時的に外すことと、係の時計の長さを決めることは違います。</t>
  </si>
  <si>
    <t>JTAのsuspend/resumeはスレッドとtransactionのassociationの操作。XA START RESUME等はbranchとの関連付けの別の操作で、MySQLにはJOIN/RESUME、SUSPENDに制限がある。xa-resource-timeoutはその再開待ちの属性ではない。</t>
  </si>
  <si>
    <t>interleaving、pinGlobalTxToPhysicalConnection等の設定を名前の似たtimeoutと結びつけて一律変更しない。</t>
  </si>
  <si>
    <t>S22 S28</t>
  </si>
  <si>
    <t>対象はSQLの実行</t>
  </si>
  <si>
    <t>一問の仕事が長すぎたら、やめるように知らせます。</t>
  </si>
  <si>
    <t>JDBC Statement.setQueryTimeoutはSQL実行に対する秒単位の設定。EAP datasourceのquery-timeoutはIronJacamarラッパーを通じてStatementへ設定される。Statement/PreparedStatementのexecute系が主要対象。</t>
  </si>
  <si>
    <t>JTA60秒に対しSQL個別10秒なら、遅いSQLをより早く検知できる。ただしtrue時の優先順位は08を参照する。</t>
  </si>
  <si>
    <t>S05 S12 S16</t>
  </si>
  <si>
    <t>開始前の待ちとの区別</t>
  </si>
  <si>
    <t>問題を解く前の席待ちや電話の呼び出しは、一問時計とは別です。</t>
  </si>
  <si>
    <t>poolから接続を得る待ち時間や新しいTCP接続の確立は、SQL execute開始前に発生する。query-timeoutだけではこれらを制限しない。begin後ならJTA残りは消費する。</t>
  </si>
  <si>
    <t>pool blocking-timeout-wait-millis、connectTimeout、transaction beginの位置を別に確認する。</t>
  </si>
  <si>
    <t>S01 S13 S16</t>
  </si>
  <si>
    <t>SQL実行時間の内訳</t>
  </si>
  <si>
    <t>本を探す時間と、鍵が空くまで待つ時間が、一問の中に含まれます。</t>
  </si>
  <si>
    <t>SQL時間には解析・実行・行ロック待ち・I/O・応答受信等が含まれ得る。query-timeoutはドライバー側のSQLタイマーで、innodb_lock_wait_timeoutはDB内の行ロック待ちだけを扱う。</t>
  </si>
  <si>
    <t>lock wait=5秒、SQL個別=10秒は『先にロック待ちを検知する』設計の一例。残りJTAが4秒ならSQL側が先の可能性もある。</t>
  </si>
  <si>
    <t>S11 S12 S29 / 設計例</t>
  </si>
  <si>
    <t>9.7.0の取消経路</t>
  </si>
  <si>
    <t>時間が過ぎたら、別の電話をかけて『その問題をやめて』と伝えます。</t>
  </si>
  <si>
    <t>Connector/Jのタイマーが動き、CancelQueryTaskImplが別スレッド・別NativeSessionでDBに接続し、元のconnection idにKILL QUERYを送る実装を確認した。取消にも接続・認証・ネットワーク往復が必要。</t>
  </si>
  <si>
    <t>SQL=10秒は『10秒で取消が必要と判定する』目安。10秒でアプリへ必ず戻る、ロックが必ず解放する、という保証ではない。</t>
  </si>
  <si>
    <t>S11 S12</t>
  </si>
  <si>
    <t>取消通信が失敗したら</t>
  </si>
  <si>
    <t>中止の電話がつながらなければ、元の係はしばらく仕事を続けるかもしれません。</t>
  </si>
  <si>
    <t>通信障害、認証問題、DB接続先の変化などでKILL QUERYが届かない場合、元のSQLはすぐに停止しないことがある。タイマーの起動とDBの停止は別の確認点。</t>
  </si>
  <si>
    <t>query-timeoutだけに依存せずsocketTimeoutを有限にする。取消失敗、接続破棄、rollback/recoveryの挙動を検証する。</t>
  </si>
  <si>
    <t>S11 S13</t>
  </si>
  <si>
    <t>enableQueryTimeouts</t>
  </si>
  <si>
    <t>一問の時計を動かすスイッチがOFFなら、数字だけあっても鳴りません。</t>
  </si>
  <si>
    <t>Connector/JのenableQueryTimeoutsは既定true。falseではStatement timeoutのタイマー監視を利用しない。EAP設定で秒数を与えても、ドライバーの機能設定と整合しなければ意図した取消にならない。</t>
  </si>
  <si>
    <t>実効propertiesを確認する。SQLで確認できるDB変数ではなくJDBC接続設定である点に注意する。</t>
  </si>
  <si>
    <t>S12 S15</t>
  </si>
  <si>
    <t>queryTimeoutKillsConnection</t>
  </si>
  <si>
    <t>一問を中止するか、係との電話ごと切るかを選ぶ別のスイッチです。</t>
  </si>
  <si>
    <t>既定falseはクエリ取消を意図する。trueは接続の強制終了を伴う設定だが、9.7.0の取消経路にも通信処理が含まれるため、『trueなら即時終了』と推測しない。XA準備済みbranchは接続終了で必ず消えない。</t>
  </si>
  <si>
    <t>本資料の出発点はfalse。trueへ変更する場合、poolの破棄、rollback、prepared XA、recoveryに対する影響を試験する。</t>
  </si>
  <si>
    <t>S11 S14 S27</t>
  </si>
  <si>
    <t>SQL失敗と全体取り消し</t>
  </si>
  <si>
    <t>一問を消せても、その前に書いた別の答えが残っていることがあります。</t>
  </si>
  <si>
    <t>JDBCのSQLTimeoutException等はSQL実行の失敗を示すが、transaction全体のrollback完了を意味しない。DBや例外の種類によって戻る範囲が異なる。JTA状態も確認する必要がある。</t>
  </si>
  <si>
    <t>業務上不可欠な更新SQLが失敗したらtransaction全体をrollbackする方針にする。catchしてsuccessを返さない。</t>
  </si>
  <si>
    <t>S16 S18 S30</t>
  </si>
  <si>
    <t>行ロック待ちエラー1205</t>
  </si>
  <si>
    <t>待っていた一問だけが取り消されることがあり、買い物セット全部が戻るとは限りません。</t>
  </si>
  <si>
    <t>MySQL標準のinnodb_lock_wait_timeout超過は原則、現在のstatementをrollbackする。innodb_rollback_on_timeout等によって違いがあり、XAの状態遷移も確認する。JTA全体の取り消しを当然視しない。</t>
  </si>
  <si>
    <t>エラー1205が発生した場合は、業務単位を失敗にしてJTA rollbackへ進む方針を明示し、その結果を検証する。</t>
  </si>
  <si>
    <t>デッドロック1213</t>
  </si>
  <si>
    <t>お金係が本係の鍵を待ち、本係がお金係の鍵を待つと、お互いに進めません。</t>
  </si>
  <si>
    <t>deadlock detectionが有効なら、単なる待ち期限とは別に循環待ちを検出して一方を選ぶ。MySQLの通常のdeadlock処理はtransaction全体をrollbackする。XAではXA error mappingも観察する。</t>
  </si>
  <si>
    <t>1213と1205を同じタイマー原因にしない。両方を別試験にし、再試行は新transactionで行う。</t>
  </si>
  <si>
    <t>S10 S29 S30</t>
  </si>
  <si>
    <t>結果の読み取り</t>
  </si>
  <si>
    <t>答えを出すまでと、長い答えを最後まで読み上げる時間は別になることがあります。</t>
  </si>
  <si>
    <t>JDBC標準はResultSetの処理へtimeoutを適用する範囲をドライバー実装に委ねる箇所がある。Connector/Jのストリーミング・cursor fetchではexecuteと後続のfetchの挙動を分けて確認する。</t>
  </si>
  <si>
    <t>『query10秒ならResultSet.nextを含めた全読み取りが10秒』と断定しない。長いfetchにはsocket設定と業務全体の期限も必要。</t>
  </si>
  <si>
    <t>バッチSQL</t>
  </si>
  <si>
    <t>一枚の用紙に10問をまとめた場合、時計が一問ごとか一枚全部かを確かめます。</t>
  </si>
  <si>
    <t>executeBatchのtimeout範囲はJDBC標準の実装差とConnector/JのrewriteBatchedStatements等に左右される。StatementImplにbatch用タイマー処理があるが、通常SQL1本と完全に同じ測定を想定しない。</t>
  </si>
  <si>
    <t>バッチ全体、各statement、更新件数、途中失敗、rollbackの実測を行う。診断器は単一SQL開始の教育モデル。</t>
  </si>
  <si>
    <t>ORMの単位</t>
  </si>
  <si>
    <t>『10』と書くとき、秒なのか千分の一秒なのかを確認します。</t>
  </si>
  <si>
    <t>Statement.setQueryTimeoutは秒。一方、Jakarta Persistenceのquery timeout hint等は別の単位・適用範囲を持つことがあり、providerが生成Statementへどう変換するかはORMの版で確認する必要がある。</t>
  </si>
  <si>
    <t>Hibernate等の版は未指定。本書は未確認のORM APIを断定せず、JDBCの正の10秒を実効の検証対象にする。</t>
  </si>
  <si>
    <t>S16 / 未指定ORMの確認事項</t>
  </si>
  <si>
    <t>connectTimeoutの役割</t>
  </si>
  <si>
    <t>最初の電話がつながるまでを5秒などに制限します。</t>
  </si>
  <si>
    <t>Connector/JのconnectTimeoutはソケット接続の確立に関するミリ秒値。SQL実行やXA COMMIT全体の上限ではない。DNS/TLS/認証/多ホスト試行等の全体時間は経路と実装を含めて測る。</t>
  </si>
  <si>
    <t>候補5000msはwriterが起動済みのオンライン接続の試験開始値。自動停止後の復帰を許す場合は、接続の別SLAを測定して決める。</t>
  </si>
  <si>
    <t>S13 S33</t>
  </si>
  <si>
    <t>socketTimeoutの役割</t>
  </si>
  <si>
    <t>電話はつながっていても、返事が来ない待ちを制限します。</t>
  </si>
  <si>
    <t>Connector/JのsocketTimeoutはネットワークソケット操作に関するミリ秒値。read待ちの保護であり、各応答で進行する通信を含むSQL/transactionの総経過時間と同じではない。XA内部コマンドにも物理接続の通信設定が関係する。</t>
  </si>
  <si>
    <t>候補30000ms。query取消が通信障害で機能しない場合の別の保護。これで2PC全体30秒と断定しない。</t>
  </si>
  <si>
    <t>PreparedStatementの再利用</t>
  </si>
  <si>
    <t>前の用紙の短い時計が、そのまま残っていないか確かめます。</t>
  </si>
  <si>
    <t>ラッパーは設定したtimeoutSetを保持する。true時の自動設定も同じsetterを通る代表実装なので、同じStatementを再利用した場合、前の正の値が次回の制限に影響し得る。新規Statementの早見表と区別する。</t>
  </si>
  <si>
    <t>SQL実行前に個別timeoutを明示し、transaction境界をまたいでアプリがStatementを保持しない。cache/close/resetの挙動は検証する。</t>
  </si>
  <si>
    <t>三つの値を区別</t>
  </si>
  <si>
    <t>全体の残り、一問用の既定、用紙に直接書いた時間を別々に見ます。</t>
  </si>
  <si>
    <t>R：TMから得る残り時間をJDBC用の秒へ変換した値。Q：datasourceのquery-timeout。P：Statementに設定された正の個別timeout。新しいStatementでPなしの場合と、同じStatementに正の値が残る場合は区別する。</t>
  </si>
  <si>
    <t>以下の規則は公開IronJacamar 3.0.10の分岐と、新しいStatementのモデル。P=0は正の個別値なし。実機パッチとStatement再利用は別に確認する。</t>
  </si>
  <si>
    <t>false・個別指定なし</t>
  </si>
  <si>
    <t>全体時計への連動を切ると、一問用の既定時間を使います。</t>
  </si>
  <si>
    <t>set-tx-query-timeout=false、Pなしなら、正のQをStatementへ設定する。JTAの残りを照会してSQL期限を短くする機構は使わない。JTA Reaper自体は独立して有効。</t>
  </si>
  <si>
    <t>JTA=60、Q=10、SQL開始t=58ならSQL予定期限t=68となり得る。JTA期限t=60にrollbackが競合する余地がある。</t>
  </si>
  <si>
    <t>S05 S19 / 設計例</t>
  </si>
  <si>
    <t>false・個別指定あり</t>
  </si>
  <si>
    <t>用紙に直接8秒と書かれていれば、その個別時間を使います。</t>
  </si>
  <si>
    <t>falseかつP&gt;0なら、代表ラッパーはQでその正の個別値を上書きしない。Q=10、P=20なら20が実効値となるモデルで、Qが必ず最大上限になるわけではない。</t>
  </si>
  <si>
    <t>個別指定は設定審査とテストの対象。『datasource10秒ならアプリは20秒にできない』という制限を前提にしない。</t>
  </si>
  <si>
    <t>true・JTAあり・Pなし</t>
  </si>
  <si>
    <t>全体の残り50秒なら、一問時計は50秒になります。</t>
  </si>
  <si>
    <t>R&gt;0が得られる場合、Rを採用する。Qをminの候補にはしない。例：Q=10、R=50なら実効50秒。Q=10、R=4なら実効4秒。</t>
  </si>
  <si>
    <t>trueと固定Qだけの組合せで短いSQL上限を期待しない。Qはtransactionがない場合等のfallbackとして位置づける。</t>
  </si>
  <si>
    <t>S05</t>
  </si>
  <si>
    <t>true・JTAあり・Pあり</t>
  </si>
  <si>
    <t>用紙10秒、全体残り50秒なら10秒。全体残り4秒なら4秒です。</t>
  </si>
  <si>
    <t>R&gt;0かつP&gt;0なら、代表分岐はmin(R,P)に制限する。Qはこの分岐のminに入らない。P=10でR=50なら10、R=4なら4。</t>
  </si>
  <si>
    <t>本資料の出発点はこの方式。true＋Statement/ORMの正の10秒を実測する。2PC/rollback余裕はこれだけでは残らない。</t>
  </si>
  <si>
    <t>true・JTAなし</t>
  </si>
  <si>
    <t>全体の時計がなければ、一問用の既定へ戻ります。</t>
  </si>
  <si>
    <t>TMから期限なし（代表APIの-1）が返る場合、PなしならQ、Pありなら正のPを保持する。『transactionなし』と『期限切れtransaction』を同じ扱いにしない。</t>
  </si>
  <si>
    <t>非JTA処理でもSQL制限が必要ならQの正の値を残す。JTAがない処理にJTA期限があると誤解しない。</t>
  </si>
  <si>
    <t>残り0と期限切れ</t>
  </si>
  <si>
    <t>時間が尽きたら、新しい問題を始めません。</t>
  </si>
  <si>
    <t>WrapperDataSourceの代表実装は残り0でSQLTimeoutExceptionを投げ、RollbackExceptionはSQLTransactionRollbackExceptionへ対応する。先にtransaction状態チェックで拒否される場合もある。0だからSQL無制限へ進む、とは説明しない。</t>
  </si>
  <si>
    <t>新SQLを拒否した後は業務を失敗として終了する。どの例外が出たかは状態とタイミングによるためログで確認する。</t>
  </si>
  <si>
    <t>S06 S07</t>
  </si>
  <si>
    <t>ミリ秒を秒へ切り上げ</t>
  </si>
  <si>
    <t>残り2.3秒なら、JDBCへは3秒と伝えることがあります。</t>
  </si>
  <si>
    <t>代表WrapperDataSourceは正のミリ秒値を1000で割り、端数があれば1秒加算する。JDBCが整数秒で受け取るため。上流TMの残り値も推定・秒精度の場合がある。</t>
  </si>
  <si>
    <t>R=2.3秒→3秒は教育例。実際の停止がJTA締切より早いとは保証できない。1秒未満の端数、スケジュール遅れを安全余裕に含める。</t>
  </si>
  <si>
    <t>S06 S08 S16</t>
  </si>
  <si>
    <t>古い1秒未満問題の扱い</t>
  </si>
  <si>
    <t>古い教科書の注意が、今の道具で直っているかを確認します。</t>
  </si>
  <si>
    <t>過去のEAPに残り1秒未満のtimeoutに関する記事がある一方、今回確認した3.0.10は切り上げと残り0の例外処理を持つ。古い不具合を現版の挙動として断定しない。</t>
  </si>
  <si>
    <t>修正済みと実機で保証するわけでもない。実JARと短い残り時間の試験で照合する。</t>
  </si>
  <si>
    <t>S06 / 旧版と現版の区別</t>
  </si>
  <si>
    <t>設定は実行前に行われる</t>
  </si>
  <si>
    <t>一問を始める直前に残り時間を見て、その一問用の時計を決めます。</t>
  </si>
  <si>
    <t>WrappedStatementのexecute前にcheckConfiguredQueryTimeoutが呼ばれる。SQLを実行している最中に毎瞬間JTA残りを取得してtimeout値を書き換える仕組みではない。ドライバーは設定値でタイマーを動かす。</t>
  </si>
  <si>
    <t>開始時の残りとSQLの開始ログを取る。実行中の期限超過はドライバーの取消とReaperの非同期処理が重なる場合がある。</t>
  </si>
  <si>
    <t>S07 S12 S19</t>
  </si>
  <si>
    <t>残り全部を渡す欠点</t>
  </si>
  <si>
    <t>次の一問に残り全部を使うと、片付け時間がなくなります。</t>
  </si>
  <si>
    <t>min(R,P)はJTA締切までのSQL待ちを制限するが、prepare、commit、rollback、取消通信、安全余裕をRから引く規則は含まれない。期限近くでタイマー同士が競合する可能性は残る。</t>
  </si>
  <si>
    <t>業務側でR−reserveを算出し、新SQLを開始するかを判断する。17の実装説明と13の設計式を参照。</t>
  </si>
  <si>
    <t>S05 / 設計判断</t>
  </si>
  <si>
    <t>Statement再利用の補足</t>
  </si>
  <si>
    <t>前に書いた短い時間が用紙に残っていたら、その次も短くなることがあります。</t>
  </si>
  <si>
    <t>代表実装では自動設定もws.setQueryTimeoutを呼び、timeoutSetに値を保持する。次回のチェックではその値が正のexplicitTimeoutとして渡るため、同じStatementを長く使い回す場合、単純な『毎回Rだけ』と異なり得る。</t>
  </si>
  <si>
    <t>アプリは実行ごとに正のPを指定し、closeする。prepared statement cacheの内部再利用と、アプリによる同一ハンドルの保持は分けて試験する。</t>
  </si>
  <si>
    <t>設定値と実効値の証拠</t>
  </si>
  <si>
    <t>設定用紙を見るだけでなく、実際に時計を動かして確かめます。</t>
  </si>
  <si>
    <t>read-attributeは設定値の証拠。Statement.getQueryTimeoutはドライバーへの設定値を観察する手段だが、自動設定が実行直前のためexecute前の値だけでは不足する場合がある。DBの停止時刻・例外時刻も合わせる。</t>
  </si>
  <si>
    <t>検証環境でR≈50、Q=10、Pなしの長いSQLと、P=10の長いSQLを比べる。停止や例外時刻には取消の遅れが含まれる。</t>
  </si>
  <si>
    <t>S05 S07 S11</t>
  </si>
  <si>
    <t>どちらの方式を採るか</t>
  </si>
  <si>
    <t>残り時間と一問上限を連動できる仕組みがあれば両方使います。</t>
  </si>
  <si>
    <t>方式A：true＋正の個別Pで残りとSQL上限を両立する。方式B：個別設定を管理できない場合、false＋固定Qを使い、業務側の残り予算チェックで期限直前のSQLを開始しない。</t>
  </si>
  <si>
    <t>Aを主案、Bを代案とする。true＋Qだけを『minで両立する方式』として採用しない。いずれも実機で検証が必要。</t>
  </si>
  <si>
    <t>SQL timeoutの実効値を比べる</t>
  </si>
  <si>
    <t>新しいStatementの教育モデル。正の個別Pと固定Qを分ける。コード根拠：S05・S06・S07。</t>
  </si>
  <si>
    <t>例</t>
  </si>
  <si>
    <t>JTAあり</t>
  </si>
  <si>
    <t>set-tx</t>
  </si>
  <si>
    <t>残りR
秒</t>
  </si>
  <si>
    <t>固定Q
秒</t>
  </si>
  <si>
    <t>個別P
秒</t>
  </si>
  <si>
    <t>実効値
秒／拒否</t>
  </si>
  <si>
    <t>なぜこの値になるか</t>
  </si>
  <si>
    <t>E01</t>
  </si>
  <si>
    <t>true</t>
  </si>
  <si>
    <t>固定Q10より残りR50が優先。</t>
  </si>
  <si>
    <t>E02</t>
  </si>
  <si>
    <t>正の個別P10を併用するとmin(R,P)。</t>
  </si>
  <si>
    <t>E03</t>
  </si>
  <si>
    <t>個別10秒でも残り4秒へ短縮。</t>
  </si>
  <si>
    <t>E04</t>
  </si>
  <si>
    <t>固定10秒はこの分岐のminに入らない。</t>
  </si>
  <si>
    <t>E05</t>
  </si>
  <si>
    <t>2.3秒をJDBC整数秒へ切り上げる代表モデル。</t>
  </si>
  <si>
    <t>E06</t>
  </si>
  <si>
    <t>正の1秒未満を1秒へ。上流TMの粒度も確認。</t>
  </si>
  <si>
    <t>E07</t>
  </si>
  <si>
    <t>実行拒否</t>
  </si>
  <si>
    <t>代表コードは残り0で例外。無制限ではない。</t>
  </si>
  <si>
    <t>E08</t>
  </si>
  <si>
    <t>false</t>
  </si>
  <si>
    <t>falseは残りを自動で引かずQ10。</t>
  </si>
  <si>
    <t>E09</t>
  </si>
  <si>
    <t>正の個別P20をQ10が一律上書きしない。</t>
  </si>
  <si>
    <t>E10</t>
  </si>
  <si>
    <t>JTAなしでは固定Qへfallback。R欄は不使用。</t>
  </si>
  <si>
    <t>E11</t>
  </si>
  <si>
    <t>JTAなし・P8なら正のPを保持。</t>
  </si>
  <si>
    <t>E12</t>
  </si>
  <si>
    <t>新しいStatementにSQL期限を設定しない。</t>
  </si>
  <si>
    <t>E13</t>
  </si>
  <si>
    <t>固定Q0でもJTA残りから期限を設定。</t>
  </si>
  <si>
    <t>E14</t>
  </si>
  <si>
    <t>固定Q0でも正の個別P10がある。</t>
  </si>
  <si>
    <t>P=0は『新しいStatementに正の明示値なし』。Statement.setQueryTimeout(0)でEAPの自動設定を必ず解除できるという意味ではない。</t>
  </si>
  <si>
    <t>Rは上流TMの残り推定。端数切り上げは代表WrapperDataSourceの分岐を単純化したモデル。実TMの粒度・dispatch・取消遅れで実停止時刻は変わる。</t>
  </si>
  <si>
    <t>残り0の実行拒否はtrue＋JTAありの代表分岐。transactionの状態チェックが先に別の例外を返す場合もある。</t>
  </si>
  <si>
    <t>同じStatementの再利用では前回のtimeoutSetが次回に影響し得る。アプリが毎回正の個別Pを設定する方式と、close/cacheのresetを実機で検証する。</t>
  </si>
  <si>
    <t>q_effはdriverに設定する予定秒数。SQL完了、取消完了、rollback完了、lock解放の時刻を保証する値ではない。</t>
  </si>
  <si>
    <t>2PCの目的</t>
  </si>
  <si>
    <t>二人の係が、どちらも買うか、どちらも戻すかをそろえます。</t>
  </si>
  <si>
    <t>2PCは複数RMのtransaction結果を原子的にそろえるための終了プロトコル。JTAは業務境界と寿命を管理するAPI/設定。どちらか一方を使えば他方の時間管理が不要という関係ではない。</t>
  </si>
  <si>
    <t>2PCで守る整合性と、各タイムアウトで守る資源・応答時間を分けて設計する。</t>
  </si>
  <si>
    <t>① begin・活動中</t>
  </si>
  <si>
    <t>先生が買い物番号を決め、係が調べたり書いたりします。</t>
  </si>
  <si>
    <t>transaction開始後に各XA resourceをenlistし、SQLが実行される。JTAの残り時間は減り、query、行ロック待ち、pool等の時計がそれぞれ働く。Reaperの対象となる活動状態。</t>
  </si>
  <si>
    <t>ここで長すぎる業務を止めるためJTAが必要。SQL単位の期限だけでは全体を管理できない。</t>
  </si>
  <si>
    <t>S18 S19 S22 S23</t>
  </si>
  <si>
    <t>② beforeCompletion</t>
  </si>
  <si>
    <t>最後の確認前に、書き残した宿題を提出します。</t>
  </si>
  <si>
    <t>commit呼出し後、同期callbackでORM flushや追加処理が起こり得る。代表TwoPhaseCoordinatorはbeforeCompletion後にBasicAction.Endへ進む。この区間でも期限・SQL例外・rollback-onlyとの競合があり得る。</t>
  </si>
  <si>
    <t>『commitを呼んだ瞬間からJTAが必ず無関係』という単純説明を避ける。実際の内部状態を見る。</t>
  </si>
  <si>
    <t>③ XA END</t>
  </si>
  <si>
    <t>各係に、いまの作業をいったん終えて、確定の相談へ移るよう伝えます。</t>
  </si>
  <si>
    <t>TMはbranchの仕事を終了させるためXAResource.endを呼ぶ。SQL業務の活動とbranchを終了プロトコルへ進める段階である。ドライバー・接続の状態により通信待ちや失敗があり得る。</t>
  </si>
  <si>
    <t>XAEnd統計も見る。SQLが速くてもendの通信が遅ければcommit全体が遅れる。</t>
  </si>
  <si>
    <t>S03 S10 S23</t>
  </si>
  <si>
    <t>④ prepare・第一段階</t>
  </si>
  <si>
    <t>『あとで買うか戻すかを決めても、必ずその通りにできますか』と聞きます。</t>
  </si>
  <si>
    <t>各RMはpreparedの永続状態を作り、XA_OKやread-only等の応答を返す。NOや失敗なら最終commitへ進めない。preparedしたRMは最終決定待ちとなり、ロック等を保持する場合がある。</t>
  </si>
  <si>
    <t>PREPARED滞留を減らす。prepareはquery-timeoutで一律に10秒制限される処理ではない。</t>
  </si>
  <si>
    <t>S10 S17 S25 S27</t>
  </si>
  <si>
    <t>⑤ 永続記録・決定</t>
  </si>
  <si>
    <t>先生は後で同じ決定を伝えられるよう、帳面を消えない場所へ残します。</t>
  </si>
  <si>
    <t>復旧可能な2PCではTMの永続ログと各RMのprepared記録を利用して最終結果を整合させる。commit方向が永続的に決定された後、単なる時間超過を理由に逆のrollbackを指示できない。</t>
  </si>
  <si>
    <t>object storeの耐久性と復旧時の利用を確認する。タイムアウト処理でTMログを削除する運用は採らない。</t>
  </si>
  <si>
    <t>S01 S21 S25</t>
  </si>
  <si>
    <t>⑥ commit・第二段階</t>
  </si>
  <si>
    <t>先生の決定を各係へ伝え、帳面を確定させます。</t>
  </si>
  <si>
    <t>TMがXAResource.commit(xid,false)を送る。あるRMがcommitした後で別RMへの通信が失敗すると、応答時点では全参加者の完了を確認できないことがある。recoveryは同じ決定を再送して解決する。</t>
  </si>
  <si>
    <t>通信例外を見て全RMがrollback済みと断定しない。取引IDで結果を照会し、recovery状況を調べる。</t>
  </si>
  <si>
    <t>S10 S17 S21 S25</t>
  </si>
  <si>
    <t>⑦ afterCompletion</t>
  </si>
  <si>
    <t>決定が終わったことを関係者へ知らせ、使った席を戻します。</t>
  </si>
  <si>
    <t>同期callbackや接続の解放等の後処理が行われる。アプリのcommit呼出しの経過時間には、SQL flush、2PCの通信、同期処理が含まれ得る。</t>
  </si>
  <si>
    <t>business、flush、prepare、commit、afterCompletion、pool返却を測定上分ける。</t>
  </si>
  <si>
    <t>S20 S21 / 設計判断</t>
  </si>
  <si>
    <t>Reaper登録と状態の違い</t>
  </si>
  <si>
    <t>見回り表に番号が残っていることと、取り消せる状態であることは別です。</t>
  </si>
  <si>
    <t>AtomicActionの代表実装はcommit/endが戻った後にReaper登録を外す。一方、Reaper workerはrunningを確認してcancelする。登録が残るから、prepare/commitを強制終了できるとは言えない。</t>
  </si>
  <si>
    <t>『commit開始直後にReaper登録が必ず削除される』という説明も、『登録中だから全状態を強制rollback』という説明も避ける。</t>
  </si>
  <si>
    <t>S19 S20 S22</t>
  </si>
  <si>
    <t>running条件の核心</t>
  </si>
  <si>
    <t>作業中の係と、確定の相談中の係は扱いが違います。</t>
  </si>
  <si>
    <t>代表TwoPhaseCoordinator.runningはRUNNINGまたはABORT_ONLYでtrue。PREPARING、PREPARED、COMMITTINGを含まない。Reaperの取消条件とこの状態判定が、JTAを2PC中の万能deadlineにできない実装上の根拠。</t>
  </si>
  <si>
    <t>公開7.1.2の観察であり、実機Red Hat patchは別途確認。少なくともJTA値のみでXA通信終了を保証しない設計を採る。</t>
  </si>
  <si>
    <t>S04 S19 S20</t>
  </si>
  <si>
    <t>prepare前の期限切れ</t>
  </si>
  <si>
    <t>まだ買うか決める前に時間が尽きたなら、セットを取り消す方針にできます。</t>
  </si>
  <si>
    <t>活動状態でReaperが処理できればcancel/rollback-onlyへ進む。SQLが動作中だとドライバーの排他や通信により後始末は遅れ得る。理論上rollback可能な段階でも、物理完了が瞬時とは限らない。</t>
  </si>
  <si>
    <t>query timeoutを短くし、取消とrollbackの余裕を確保する。ロック解放まで観察する。</t>
  </si>
  <si>
    <t>prepare中の期限切れ</t>
  </si>
  <si>
    <t>相談に入った係をベルだけで必ず止められるとは限りません。</t>
  </si>
  <si>
    <t>理論上、commit決定前ならabortできる状況はある。しかしNarayanaの状態判定、End/Abortの排他、RM応答待ちにより、prepare中のJTA期限切れが即座にabortへ反映されると保証できない。</t>
  </si>
  <si>
    <t>『prepareまでなら必ずJTAで止まる』とも断定しない。prepare応答の遅延・停止を故障注入で確かめる。</t>
  </si>
  <si>
    <t>commit決定後の期限切れ</t>
  </si>
  <si>
    <t>『買う』を確定して一人へ伝えた後に、もう一人だけ『戻す』とは言えません。</t>
  </si>
  <si>
    <t>commit決定が永続化された後は全参加者をcommitへそろえる責務がある。期限切れの活動transactionをabortする目的とは異なる。通信timeout後もrecoveryによる完了が必要で、heuristic結果は別の障害として扱う。</t>
  </si>
  <si>
    <t>JTA60秒超過＝全体rollbackという監視ルールにしない。決定ログとRMの状態を確認する。</t>
  </si>
  <si>
    <t>query時計の適用範囲</t>
  </si>
  <si>
    <t>一問の時計は、先生の確定の電話にも自動で付く時計ではありません。</t>
  </si>
  <si>
    <t>Connector/JのXA internal Statementは通常のアプリ側WrappedStatement経由ではない。したがってquery-timeoutやset-tx-query-timeoutをXA prepare/commitの直接deadlineとして扱えない。</t>
  </si>
  <si>
    <t>2PC通信を守るには物理接続のsocket設定を確認。recovery接続も別に設定される可能性があるため、同じ値が有効か確認する。</t>
  </si>
  <si>
    <t>S05 S10 S13</t>
  </si>
  <si>
    <t>XA時計の適用範囲</t>
  </si>
  <si>
    <t>係が対応していない時計は、確定の電話を止める役にもなりません。</t>
  </si>
  <si>
    <t>本環境のxa-resource-timeoutはConnector/J非対応。対応するRMでもbranch timeoutと1回のXA network callの上限は同じではない。prepared後に勝手にabortすることの原子性上の問題もある。</t>
  </si>
  <si>
    <t>XA=JTA=60とそろえたことを2PC安全性の根拠にしない。</t>
  </si>
  <si>
    <t>S10 S17 S25</t>
  </si>
  <si>
    <t>socket時計の適用範囲</t>
  </si>
  <si>
    <t>返事がない電話は切れても、相手がもう帳面を書いた可能性があります。</t>
  </si>
  <si>
    <t>socket timeoutは応答不通の検出に役立つが、commit要求がDBに到達したか、DBがcommitしたかを確定しない。応答が失われたcommitは結果不明となり得る。</t>
  </si>
  <si>
    <t>アプリは『未反映』と決めず、冪等キー・状態照会・復旧を利用する。再送はTM/recoveryの責務と区別する。</t>
  </si>
  <si>
    <t>S13 S25 / 設計判断</t>
  </si>
  <si>
    <t>単一RMの1PC最適化</t>
  </si>
  <si>
    <t>係が一人だけなら、二回の確認が省かれることがあります。</t>
  </si>
  <si>
    <t>JTA/Narayanaを使っていても参加RMが一つなら1PC最適化が起こり得る。SQLを2本実行した、接続を2個借りた、というだけで異なる2RMの2PCとは限らない。isSameRM等の判定も関係する。</t>
  </si>
  <si>
    <t>利用者は2PC利用を指定しているが、実動作はXAPrepare/XACommit統計やテスト用XA記録で確認する。JTA timeoutの必要性は1PCでも変わらない。</t>
  </si>
  <si>
    <t>S17 S21 S25</t>
  </si>
  <si>
    <t>recoveryには別の時間軸</t>
  </si>
  <si>
    <t>授業が終わっても、帳面をそろえる仕事は続くことがあります。</t>
  </si>
  <si>
    <t>Recovery Managerは周期的な走査・再接続・再送により未解決transactionを処理する。JTAの活動期限はrecovery全体の終了上限ではない。RM障害が継続すれば復旧も遅れる。</t>
  </si>
  <si>
    <t>復旧SLO、PREPARED滞留警告、object store保存、運用当番の手順を別に定める。</t>
  </si>
  <si>
    <t>S03 S24 S25 S26</t>
  </si>
  <si>
    <t>必要かどうかの最終判断</t>
  </si>
  <si>
    <t>先生の全体時計、一問の時計、電話の時計、あとで帳面を直す方法が全部必要です。</t>
  </si>
  <si>
    <t>結論：JTAは業務寿命・資源滞留・SQL間処理を制御するため必要。2PCに入る前の予算にも使う。しかし2PC確定・通信・障害復旧を期限内に強制完了させる十分条件にはならない。</t>
  </si>
  <si>
    <t>JTA、正のSQL個別timeout＋set-tx、通信timeout、短いXA、recovery・結果照会を整合させて採用する。</t>
  </si>
  <si>
    <t>S05 S10 S13 S19 S25 S26</t>
  </si>
  <si>
    <t>A：通常の成功</t>
  </si>
  <si>
    <t>お買い物が早く済み、片付けも終わります。</t>
  </si>
  <si>
    <t>t=0 begin、t=3 SQL1開始、t=5終了、t=6 SQL2開始、t=9終了、flush等の確認後t=10 prepare開始、t=11 commit決定、t=12各RM確定完了。JTA60秒に十分な余裕がある。</t>
  </si>
  <si>
    <t>成功例でもprepare/commitの時刻と参加者数を記録する。通常SQLが速いことだけで2PCの正常性を確認しない。</t>
  </si>
  <si>
    <t>S20 S21 S25 / 説明例</t>
  </si>
  <si>
    <t>B：SQL個別10秒が先</t>
  </si>
  <si>
    <t>一問が長すぎるので、全体のベルを待たず中止します。</t>
  </si>
  <si>
    <t>t=8 SQL開始、P=10・R≈52・trueなので実効10。t≈18取消を開始し、その後アプリへ例外が返る。アプリは全体rollbackへ進み、DBが戻してロックを解放する。</t>
  </si>
  <si>
    <t>t=18で全資源が解放済みとは限らない。取消・rollback完了時刻まで計測し、60秒までの余裕を確認する。</t>
  </si>
  <si>
    <t>S05 S11 S19 / 説明例</t>
  </si>
  <si>
    <t>C：固定Qだけが上書きされる</t>
  </si>
  <si>
    <t>一問10秒のつもりが、連動で残り52秒になっています。</t>
  </si>
  <si>
    <t>t=8 SQL開始、Q=10、Pなし、true。代表実装はR≈52を採用し、Q=10はminに入らない。長いSQLはt≈60付近でquery期限とJTA期限が近づく。</t>
  </si>
  <si>
    <t>これが本資料の重要な落とし穴。true＋Qだけの設定を、短いSQL timeoutの証明に使わない。</t>
  </si>
  <si>
    <t>S05 / 説明例</t>
  </si>
  <si>
    <t>D：falseで期限直前のSQL</t>
  </si>
  <si>
    <t>全体残り2秒でも、一問時計を10秒で動かすと、ベルが先に鳴ります。</t>
  </si>
  <si>
    <t>JTA=60、t=58でP/Q=10のSQLを開始、false。SQL予定期限はt=68、JTA期限はt=60。Reaperがrollbackを試みても、SQLと同じ物理接続の処理で待つことがある。</t>
  </si>
  <si>
    <t>false方式では残り予算の開始前チェックが特に重要。JTAまでにSQLが戻ると期待しない。</t>
  </si>
  <si>
    <t>S05 S19 S21 / 説明例</t>
  </si>
  <si>
    <t>E：trueでも後始末は残らない</t>
  </si>
  <si>
    <t>残り2秒の一問を始めると、終わった後の片付け時間はほぼありません。</t>
  </si>
  <si>
    <t>t=58 SQL開始、true・P=10で実効R≈2。t≈60に取消とJTA期限が重なる。単位丸めやスケジュール、取消通信により先後は固定できず、rollbackが60秒を超える場合がある。</t>
  </si>
  <si>
    <t>『残り連動』と『片付け余裕を差し引く』は別。reserve20秒の例ならt=40以後の新SQL開始を制限する。</t>
  </si>
  <si>
    <t>S05 S06 S11 / 説明例</t>
  </si>
  <si>
    <t>F：SQLがなくてもJTA期限切れ</t>
  </si>
  <si>
    <t>すべての一問が短くても、途中で長く相談すると全体が時間切れになります。</t>
  </si>
  <si>
    <t>SQL1が1秒で終わり、その後transactionを保持して外部API/待機が長引き、t=60を超える。query-timeoutはSQL外の待ちを監視しない。Reaperによる全体寿命の管理が必要。</t>
  </si>
  <si>
    <t>JTAが2PCでも必要であることを示す直接例。外部APIの通信期限も別に置き、可能ならtransaction外へ移す。</t>
  </si>
  <si>
    <t>S18 S19 / 説明例</t>
  </si>
  <si>
    <t>G：prepareが締切をまたぐ</t>
  </si>
  <si>
    <t>確定の相談中にベルが鳴っても、その電話が自動で終わるとは限りません。</t>
  </si>
  <si>
    <t>t=55 prepare開始、RM応答が遅れる。t=60でJTA期限を超えても、PREPARINGは代表running条件に含まれず、完了処理の競合もある。t=65以後の成功・失敗・復旧が起こり得る。</t>
  </si>
  <si>
    <t>JTA60秒を2PCのhard deadlineと扱わない。prepare遅延試験とネットワークtimeoutの適用確認を行う。</t>
  </si>
  <si>
    <t>S19 S20 S21 / 説明例</t>
  </si>
  <si>
    <t>H：commit応答だけ消失</t>
  </si>
  <si>
    <t>お金係はもう払ったのに、先生へ『できた』の返事だけ届きません。</t>
  </si>
  <si>
    <t>prepare成功・commit決定記録後、XA COMMITがRMへ到達。RMがcommitしたが応答が失われ、TMは通信timeoutを受ける。この時点で未反映と断定できず、他branchはpreparedのままかもしれない。</t>
  </si>
  <si>
    <t>最終結果は照会/recoveryで確認。業務全体を新規に再試行する前に冪等キーで重複を防ぐ。</t>
  </si>
  <si>
    <t>S13 S25 S27 / 説明例</t>
  </si>
  <si>
    <t>I：preparedでEAP停止</t>
  </si>
  <si>
    <t>先生が休んでも、準備済み係の帳面と鍵が残っています。</t>
  </si>
  <si>
    <t>prepared branchはDB側に永続化される。MySQL 8.4のdetached XAでは元接続の終了だけでpreparedが消えると期待できない。EAP再起動後に同じobject storeとRMを使ってrecoveryする。</t>
  </si>
  <si>
    <t>JTA60秒経過、接続close、EAP停止を『preparedの安全な解除』と扱わない。復旧ログとXA RECOVERを照合する。</t>
  </si>
  <si>
    <t>S03 S25 S26 S27 / 説明例</t>
  </si>
  <si>
    <t>J：行ロック待ち5秒</t>
  </si>
  <si>
    <t>ほかの係が持つ鍵を5秒待ち、手に入らなければ一問を失敗にします。</t>
  </si>
  <si>
    <t>t=10 UPDATE開始、L=5、P=10、R≈50。行ロックを取れずt≈15で1205。query10秒よりlock waitが先。必須更新失敗としてJTA全体rollbackを実施し、前の更新も戻るか確認する。</t>
  </si>
  <si>
    <t>Lはロック保持元の寿命を制限しない。保持元のtransactionとロック解放を別に調べる。</t>
  </si>
  <si>
    <t>S29 S30 / 説明例</t>
  </si>
  <si>
    <t>K：network blackhole</t>
  </si>
  <si>
    <t>中止の電話も返事の電話もつながらず、通常の一問時計ではすぐ戻れません。</t>
  </si>
  <si>
    <t>P=10で取消が必要と判定されてもKILL QUERYの新接続が失敗。元接続のsocketTimeout=30000により別の通信待ち期限が働く可能性がある。複数呼出しや復旧が続けば総時間はさらに長くなる。</t>
  </si>
  <si>
    <t>30秒は失敗時の通信待ち保護であり、全処理30秒を証明しない。業務スレッド、DB処理、pool返却を観察する。</t>
  </si>
  <si>
    <t>S11 S13 / 説明例</t>
  </si>
  <si>
    <t>L：Serverlessの再開待ち</t>
  </si>
  <si>
    <t>係の部屋が眠っている場合、起こしてから買い物を始めます。</t>
  </si>
  <si>
    <t>最小0 ACUとauto-pause利用時には接続がDBの再開を引き起こす。connectTimeout=5000が短すぎる可能性があるが、再開時間はXA resource timeoutの設定とは関係ない。</t>
  </si>
  <si>
    <t>起動済みwriter前提のオンライン値と、再開を許す接続のSLAを分ける。低遅延要件なら最小ACU・接続維持の構成判断も必要。</t>
  </si>
  <si>
    <t>S13 S33 S34 / 説明例</t>
  </si>
  <si>
    <t>DBの版を確定</t>
  </si>
  <si>
    <t>同じMySQLでも、クラウド用の版番号を確認します。</t>
  </si>
  <si>
    <t>利用者はAurora Serverless v2、Aurora MySQL 8.4.7を指定。AWSの8.4.7 release notesはMySQL 8.4.7との互換を示す。Serverless v2は容量方式であり、MySQLエンジンの機能を別物に置き換えるtransaction managerではない。</t>
  </si>
  <si>
    <t>SELECT VERSION(), AURORA_VERSION()とAWSのEngineVersionを記録し、実際のwriter・cluster設定と照合する。</t>
  </si>
  <si>
    <t>S31 S34</t>
  </si>
  <si>
    <t>AWSのXA推奨</t>
  </si>
  <si>
    <t>『準備できた』まま残る仕事が、復旧を長くする可能性があります。</t>
  </si>
  <si>
    <t>AWSはAurora MySQLのXAを避けることを推奨し、必要な場合はXAを小さく、PREPAREDを開いたままにしないと案内する。利用できるかという機能可否と、運用上の推奨を分けて理解する。</t>
  </si>
  <si>
    <t>既存の2PCを一律に否定せず、prepared滞留を減らす境界とrecoveryを重点設計する。将来方式変更を検討する場合は業務整合性から別途判断する。</t>
  </si>
  <si>
    <t>S26</t>
  </si>
  <si>
    <t>innodb_lock_wait_timeoutの対象</t>
  </si>
  <si>
    <t>鍵を待つ人が、何秒待つかを決めます。</t>
  </si>
  <si>
    <t>MySQL標準の行ロック待ち期限。単位秒、GLOBAL/SESSION、標準既定50秒。SQL実行時間全体、metadata lockの待ち、ロック保持者のtransaction寿命を制限する変数ではない。</t>
  </si>
  <si>
    <t>本環境の候補5秒。実AuroraのGLOBALとSESSIONを読む。現在値が50秒だと未確認のまま記載しない。</t>
  </si>
  <si>
    <t>S29</t>
  </si>
  <si>
    <t>保持側と待機側</t>
  </si>
  <si>
    <t>待っている子が帰っても、鍵を持つ子が鍵を返すとは限りません。</t>
  </si>
  <si>
    <t>L=5秒はwaiterの失敗を早める。blockerのtransactionが長く続く、prepared XAが残る場合、そのロック保持の原因は別に解決する必要がある。</t>
  </si>
  <si>
    <t>data_lock_waitsからblockerを調べ、その業務境界・SQL・XA状態を確認する。waiterのtimeoutを短くするだけで根本解消したと報告しない。</t>
  </si>
  <si>
    <t>S29 S30 / 設計判断</t>
  </si>
  <si>
    <t>SESSION値と接続プール</t>
  </si>
  <si>
    <t>係を使い回すと、前の仕事で書き換えた時計が残ることがあります。</t>
  </si>
  <si>
    <t>SET SESSIONは物理DBセッションに作用する。EAP接続プールは物理接続を再利用するため、アプリ単位で変更したsession値が次の利用へ残る可能性がある。GLOBAL変更も既存sessionへ一律反映とは限らない。</t>
  </si>
  <si>
    <t>共通値は適切なparameter group/物理接続初期化等で管理し、接続を再作成した後に実効SESSION値を検証する。毎SQLの場当たり的変更を避ける。</t>
  </si>
  <si>
    <t>S03 S29</t>
  </si>
  <si>
    <t>行ロック待ちとdeadlock</t>
  </si>
  <si>
    <t>一人が鍵を待つ場合と、お互いに相手の鍵を待つ場合は違います。</t>
  </si>
  <si>
    <t>deadlock detectionがONなら循環待ちを検出して一方を選ぶため、L秒を待ち切ることとは別。OFFの場合はlock wait timeoutに頼る挙動となる。設定変更をせず実際の値を確認する。</t>
  </si>
  <si>
    <t>deadlockとlock timeoutは別メトリクス・別試験。再試行時はrollback済みを確認し、新しいtransactionで行う。</t>
  </si>
  <si>
    <t>metadata lock</t>
  </si>
  <si>
    <t>台帳の内容の鍵と、台帳の作りを変える鍵は別です。</t>
  </si>
  <si>
    <t>DDLやテーブル定義の操作に伴うmetadata lockは、innodb_lock_wait_timeoutの行ロックと別の待ち。長いtransactionがDDLを妨げることがあり、SQLが遅い原因の切り分けに含める。</t>
  </si>
  <si>
    <t>『L=5なのにSQLが5秒で戻らない』なら、行ロック以外の待ちも調べる。performance_schemaの状態を確認する。</t>
  </si>
  <si>
    <t>S29 S41 / 設計判断</t>
  </si>
  <si>
    <t>max_execution_timeとの違い</t>
  </si>
  <si>
    <t>読書だけに使える時計を、買い物全体の時計と同じにしません。</t>
  </si>
  <si>
    <t>MySQLのSELECT実行時間を制限する機能を、JDBC query timeoutやUPDATEのロック待ち、JTA全体、XA commitの代用として扱わない。本資料の4設定とは設定層と対象が違う。</t>
  </si>
  <si>
    <t>追加のDB実行期限を使う場合は対象SQL種別・Aurora対応・単位を別途確認する。今回の候補値に自動追加はしない。</t>
  </si>
  <si>
    <t>S16 S41 / 別機能の区別</t>
  </si>
  <si>
    <t>prepared XAは永続する</t>
  </si>
  <si>
    <t>先生がいなくなっても、準備済みの係の帳面は残ります。</t>
  </si>
  <si>
    <t>XA PREPARE成功後はRMがprepared状態を保持し、XA RECOVERで列挙される。元のJDBC接続の終了やJTA時間経過だけで安全に解除できると考えない。ロックが長く残る場合がある。</t>
  </si>
  <si>
    <t>prepared数だけでなく、初回検知時刻と継続時間を監視する。MySQLのXA RECOVER結果自体には開始時刻がないため、観測履歴を保存して滞留時間を求める。</t>
  </si>
  <si>
    <t>S10 S26 S27</t>
  </si>
  <si>
    <t>xa_detach_on_prepare</t>
  </si>
  <si>
    <t>準備した係を元の電話から切り離し、別の電話で最終指示できる仕組みです。</t>
  </si>
  <si>
    <t>MySQL 8.4標準ではdetached XAが既定ONで、prepare後は別接続でもcommit/rollback可能。元接続をcloseしたらpreparedが必ずrollbackという想定は成立しない。Auroraの実SESSION値は別に確認する。</t>
  </si>
  <si>
    <t>SELECT @@SESSION.xa_detach_on_prepareを記録する。値を変えればprepared問題が解決すると考えず、recovery設計と合わせる。</t>
  </si>
  <si>
    <t>S27</t>
  </si>
  <si>
    <t>XA RECOVERの権限</t>
  </si>
  <si>
    <t>準備済みの仕事番号を読める人を、必要な係に限って用意します。</t>
  </si>
  <si>
    <t>Recovery ManagerがRMのprepared Xidを照会し、commit/rollbackするための接続と権限が必要。MySQLにはXA_RECOVER_ADMIN等の権限要件があり、Auroraの管理ユーザー/復旧ユーザーで実行できるか確認する。</t>
  </si>
  <si>
    <t>権限不足を無制限権限で解消しない。実際の復旧ユーザーでreadと回復試験を行う。</t>
  </si>
  <si>
    <t>S03 S40</t>
  </si>
  <si>
    <t>writerへ接続する</t>
  </si>
  <si>
    <t>確定する帳面を持つ係へ連絡します。</t>
  </si>
  <si>
    <t>更新とXA終了はwriterで処理する設計が基本。reader endpointやwrite forwardingの機能が存在しても、XAの対応条件を無確認で同一視しない。フェイルオーバー後はwriterが変わる。</t>
  </si>
  <si>
    <t>通常接続とrecovery接続のURL、DNS、認証を記録する。フェイルオーバーにより既存XA接続が透過的に同じbranchを継続できると期待しない。</t>
  </si>
  <si>
    <t>S03 S10 S26 / 構成確認</t>
  </si>
  <si>
    <t>Serverlessの低ACU</t>
  </si>
  <si>
    <t>係の人数が少ないと、同じ仕事でも時間が長くなることがあります。</t>
  </si>
  <si>
    <t>CPU・メモリー・キャッシュ余裕が異なるとSQLやcommitの時間分布が変わる。平均SQL時間だけでtimeoutを決めると、低容量時や負荷急増時に多数の取消が起こる可能性がある。</t>
  </si>
  <si>
    <t>最小/最大ACU、DB負荷、CPU、接続数、p99/p99.9を合わせて見る。timeoutを延ばす前に実行計画と容量制約を調べる。</t>
  </si>
  <si>
    <t>S34 / 設計判断</t>
  </si>
  <si>
    <t>0 ACUからの再開</t>
  </si>
  <si>
    <t>部屋を起こす時間は、仕事を始めた後の一問時間とは別です。</t>
  </si>
  <si>
    <t>auto-pause利用時のresumeは接続の遅延要因になる。pool/driver接続・外側のリクエスト予算に含める。xa-resource-timeoutとServerlessの再開時間は独立。</t>
  </si>
  <si>
    <t>最小ACU設定は未提供。最小0を使う場合、connect5秒を無条件採用しない。起動済みオンライン前提と再開許容の条件を分ける。</t>
  </si>
  <si>
    <t>フェイルオーバー</t>
  </si>
  <si>
    <t>担当係が変わると、古い電話が切れ、準備済みの帳面を次の係が扱います。</t>
  </si>
  <si>
    <t>DB可用性機能は、アプリの実行中transactionが必ず成功することを意味しない。XAコマンドの結果不明、既存接続エラー、preparedの復旧を設計する必要がある。</t>
  </si>
  <si>
    <t>再接続・新規業務再試行・既存Xidのrecoveryを別に扱う。autoReconnectをtransaction継続の万能策にしない。</t>
  </si>
  <si>
    <t>S10 S25 S26 S34 / 設計判断</t>
  </si>
  <si>
    <t>本環境で必要な測定</t>
  </si>
  <si>
    <t>ふだん、混雑、寝起き、電話故障の四つで時計を試します。</t>
  </si>
  <si>
    <t>起動済みの正常状態、最低ACUと高負荷、必要ならauto-resume、writer切替、SQL取消失敗、prepare/commit応答消失を含める。各試験でJTA状態、SQL、ロック、pool、XA RECOVER、TMログを結びつける。</t>
  </si>
  <si>
    <t>候補値の採用条件は測定と復旧成功。ファイルを作成しただけでこの組合せを実機検証済みとはしない。</t>
  </si>
  <si>
    <t>S03 S26 S29 S34 / 検証計画</t>
  </si>
  <si>
    <t>記号</t>
  </si>
  <si>
    <t>それぞれの時計に短い名前を付けます。</t>
  </si>
  <si>
    <t>T：JTA秒数、Q：固定datasource SQL秒数、P：正の個別SQL秒数、R：SQL開始時点のJTA残り、L：行ロック待ち秒数、S：socket秒換算、C：connect秒換算、B：pool待ち秒換算、H：外側の応答予算。</t>
  </si>
  <si>
    <t>ミリ秒設定は表で秒へ換算して比較する。異なる時計を同じ数値欄へ単位なしで入れない。</t>
  </si>
  <si>
    <t>S01 S13 S16 S29 / 設計モデル</t>
  </si>
  <si>
    <t>健全系の全体予算</t>
  </si>
  <si>
    <t>問題を解く時間と、最後の確認時間を足して、授業に収まるかを見ます。</t>
  </si>
  <si>
    <t>transaction内のpool待ちB、接続C、SQL外処理A、各SQL時間q_i、flush、2PC、同期処理、安全余裕を計上する。例：B+C+A+Σq_i+2PC予算+安全余裕 &lt; T。重複する処理やtransaction外の処理は二重計上しない。</t>
  </si>
  <si>
    <t>これは設計予算であり、障害時に全経路がこの時間で終わる数学的保証ではない。実測と故障試験で余裕を確認する。</t>
  </si>
  <si>
    <t>S20 S21 / 設計モデル</t>
  </si>
  <si>
    <t>失敗系の予算</t>
  </si>
  <si>
    <t>最後に失敗した場合の取り消し・片付け時間も考えます。</t>
  </si>
  <si>
    <t>取消＋rollbackの予算をU、2PCの予定予算をV、安全余裕をMとして、終了用reserve K=max(U,V)+Mを置く。成功とrollbackは通常どちらかなのでモデルではmaxを使い、実経路の共通・追加処理は測定で補う。</t>
  </si>
  <si>
    <t>例：U15、V10、M5→K20秒。通信障害やrecoveryはこの15秒で必ず終わるとは保証しない。</t>
  </si>
  <si>
    <t>設計モデル / S11 S21 S25</t>
  </si>
  <si>
    <t>新SQL開始の判定</t>
  </si>
  <si>
    <t>片付け分を引いて、残りに問題が解けるかを見ます。</t>
  </si>
  <si>
    <t>アプリ側でR−Kを求める。R−K&lt;1秒なら新SQLを開始しない。利用可能なSQL整数秒はfloor(R−K)。さらに業務SQL上限Pとの小さい方を選ぶ。0をsetQueryTimeoutへ入れると無制限になるので拒否する。</t>
  </si>
  <si>
    <t>例：R25、K20、P10ならSQL上限5秒。R20以下なら開始しない。set-tx自体はKを差し引かない。</t>
  </si>
  <si>
    <t>S05 S16 / 設計モデル</t>
  </si>
  <si>
    <t>締切の絶対時刻</t>
  </si>
  <si>
    <t>全体のベルは60秒の時刻。一問は、始めた時刻に時間を足します。</t>
  </si>
  <si>
    <t>JTA予定deadline D_T=t_begin+T。SQL予定deadline D_SQL=t_sql+q_eff。false方式でt_sql=58、q_eff=10ならD_SQL=68&gt;Tのdeadline60。true方式でR≈2ならD_SQL≈60になるが、取消遅れは残る。</t>
  </si>
  <si>
    <t>『Q&lt;TだからSQLが必ずJTAより先に終わる』という推論は成り立たない。開始位置も比較する。</t>
  </si>
  <si>
    <t>S05 S06 / 設計モデル</t>
  </si>
  <si>
    <t>Lとq_effの関係</t>
  </si>
  <si>
    <t>鍵待ちを先に諦めたいなら、一問時計より短くします。ただし残り時間が短ければ順番は逆転します。</t>
  </si>
  <si>
    <t>Rが十分なら例としてL5&lt;q_eff10。しかしR4のtrue方式ではq_eff4&lt;L5となり、SQL timeoutが先になる可能性がある。エラーの先後は競合・丸め・取消遅れにも左右される。</t>
  </si>
  <si>
    <t>L&lt;Qという固定比較だけでいつも1205が先とは判断しない。q_effと実際の開始点で考える。</t>
  </si>
  <si>
    <t>S05 S29 / 設計モデル</t>
  </si>
  <si>
    <t>q_effとsocketの関係</t>
  </si>
  <si>
    <t>ふだんは一問を先に中止し、連絡不能なら電話の待ちも制限します。</t>
  </si>
  <si>
    <t>例としてq_eff10&lt;S30は、取消が機能する正常通信時にはSQL時計を先にする設計。socketTimeoutはsocket操作の待ちでありSQL総経過時間そのものではないので、単純な10&lt;30から停止保証は導けない。</t>
  </si>
  <si>
    <t>network blackholeと取消新接続失敗を別試験にする。socket超過後は壊れた接続を再利用しない。</t>
  </si>
  <si>
    <t>S11 S13 / 設計モデル</t>
  </si>
  <si>
    <t>TとHの関係</t>
  </si>
  <si>
    <t>画面が諦める前に、サーバー側が失敗を片付けて返せる時間を残します。</t>
  </si>
  <si>
    <t>Hはrequest全体の外側予算で、transaction開始前後の処理も含む。T60&lt;H90は出発点として説明できるが、2PC/recoveryがTを超える場合、H以内の確定結果は保証できない。</t>
  </si>
  <si>
    <t>外側期限を設定するだけでサーバー処理を停止できるとは思わない。結果不明の応答、照会、冪等性を設計する。</t>
  </si>
  <si>
    <t>S25 / 設計モデル</t>
  </si>
  <si>
    <t>2PCを開始する条件</t>
  </si>
  <si>
    <t>確定の相談を始める前に、相談の時間が残っているか見ます。</t>
  </si>
  <si>
    <t>アプリ/コンテナのflushが追加SQLを出す可能性を含めて、commit前にRがV+M以上ある状態を目指す。JTA値を延長すれば2PC通信が自動的に保護されるわけではない。</t>
  </si>
  <si>
    <t>未flush分を測定する。CMTではメソッドreturn後のコンテナcommitも含めて業務境界の予算を決める。</t>
  </si>
  <si>
    <t>数値例：2本のSQL</t>
  </si>
  <si>
    <t>二問で20秒、席3秒、電話5秒、計算4秒、片付け予備20秒です。</t>
  </si>
  <si>
    <t>N=2、P10、B3、C5、A4、U15、V10、M5。保守的な合計=B+C+A+N×P+max(U,V)+M=52秒。T60との差8秒。H90との差はrequest前後処理も別に考える。</t>
  </si>
  <si>
    <t>この例は2本がそれぞれ上限近くかかった場合。時間切れ後の復旧に無制限の上限保証を与える式ではない。</t>
  </si>
  <si>
    <t>設計例</t>
  </si>
  <si>
    <t>数値例：3本へ増える</t>
  </si>
  <si>
    <t>一問増えるだけで、予算が足りなくなることがあります。</t>
  </si>
  <si>
    <t>同じ値でN=3なら62秒となり、T60の予算を超える。Q10&lt;T60だから安全という議論では、SQL数と周辺時間を見落とす。</t>
  </si>
  <si>
    <t>SQLを高速化する、同時でなく分割してtransactionを短くする、要件上必要なら個別Tを見直す。単純なサーバー全体延長を第一手にしない。</t>
  </si>
  <si>
    <t>平均より裾を見る</t>
  </si>
  <si>
    <t>ふだん2秒でも、ときどき20秒なら、その長い日を調べます。</t>
  </si>
  <si>
    <t>平均だけでなくp95、p99、p99.9、最大の分布と失敗率を調べる。負荷とACUごとにSQL/prepare/commit/rollbackを測り、timeoutによる取消が負荷を増やす連鎖も観察する。</t>
  </si>
  <si>
    <t>代表サンプル数と時間帯を記録する。長い例がlock waitなのか低ACUなのかを切り分ける。</t>
  </si>
  <si>
    <t>S03 S34 / 設計判断</t>
  </si>
  <si>
    <t>同じ時刻に全部を切らない</t>
  </si>
  <si>
    <t>一問の中止、全体の終了、画面の諦めが同時だと、片付けの途中で返事ができなくなります。</t>
  </si>
  <si>
    <t>JTA60、SQL60、socket60000、HTTP60という同一値は、開始点が違う上に取消・rollbackの余裕がない。タイマーの発火順は保証されず、二重の例外や結果不明になりやすい。</t>
  </si>
  <si>
    <t>SQLを早く検知し、業務側reserveを残す。HTTPはrequest予算として定義し、2PC結果不明を扱えるようにする。</t>
  </si>
  <si>
    <t>S05 S11 S19 / 設計判断</t>
  </si>
  <si>
    <t>再試行の予算</t>
  </si>
  <si>
    <t>失敗した買い物をやり直すなら、前のセットを終え、全体の時間も数え直します。</t>
  </si>
  <si>
    <t>同じrollback-only transactionの中でSQLだけを繰り返さない。新しいtransactionで、回数上限、待機、残りrequest予算を考慮する。結果不明のcommitは未反映を確認するまで新規業務として再試行しない。</t>
  </si>
  <si>
    <t>JTA60×3回でrequest90に収まるとは限らない。冪等キーと状態照会を前提に、業務ごとの許容方針を決める。</t>
  </si>
  <si>
    <t>S18 S25 / 設計判断</t>
  </si>
  <si>
    <t>JTA：60秒</t>
  </si>
  <si>
    <t>買い物セットの長さです。</t>
  </si>
  <si>
    <t>候補：default-timeout=60秒、または必要な業務の個別timeout60秒。2本のSQL等を想定した52秒の設計例に8秒の余裕を置く。既定300秒をそのまま業務に適合としない。</t>
  </si>
  <si>
    <t>採用条件：正常系p99、flush/2PC、rollback、低ACU時を計測。オンラインと長いバッチが混在する場合は個別境界・分割を検討。</t>
  </si>
  <si>
    <t>S01 / 設計例</t>
  </si>
  <si>
    <t>XA：0/未指定</t>
  </si>
  <si>
    <t>対応しない係の時計を、効く時計として数えません。</t>
  </si>
  <si>
    <t>候補：xa-resource-timeout=0。Connector/J 9.7.0のXA timeout setterは非対応falseなので、30/60/120秒等にしてもMySQLのbranch期限にはならない。</t>
  </si>
  <si>
    <t>採用条件：実ロードされたdriverとXADataSourceを確認。独自ラッパーや別RMが存在する場合はその仕様を調べる。</t>
  </si>
  <si>
    <t>S08 S10</t>
  </si>
  <si>
    <t>固定SQL：10秒</t>
  </si>
  <si>
    <t>JTAがない場所でも、一問の既定を置きます。</t>
  </si>
  <si>
    <t>候補：query-timeout=10秒。trueでJTAの正の残りがある場合は、この固定値自体が常に使われるわけではない。fallbackの値としても役立つ。</t>
  </si>
  <si>
    <t>採用条件：10秒以内の正常SQLと業務要件。true時の短いSQL上限は正の個別Pを併用して検証する。</t>
  </si>
  <si>
    <t>S01 S05 / 設計例</t>
  </si>
  <si>
    <t>set-tx：true＋個別10秒</t>
  </si>
  <si>
    <t>全体の残りが短ければ一問も短くし、長くても一問10秒を守ります。</t>
  </si>
  <si>
    <t>主案：set-tx-query-timeout=true、アプリ/ORMでStatement個別P=10秒。代表実装のq_eff=min(R,10)。Rが十分あるときだけ10秒、Rが短いときはR相当。</t>
  </si>
  <si>
    <t>採用条件：全対象SQLで個別正の値が渡ること、実機パッチの優先順位が同じこと。SQL開始前のreserve判定も併用。</t>
  </si>
  <si>
    <t>S05 S07 / 設計例</t>
  </si>
  <si>
    <t>個別管理が難しい場合</t>
  </si>
  <si>
    <t>用紙ごとに時間を書けないなら、一問既定を使い、残り不足で始めないようにします。</t>
  </si>
  <si>
    <t>代案：set-tx-query-timeout=false、query-timeout=10秒。SQLの固定上限を得る代わりに、JTA締切への自動短縮はない。アプリで残り予算を管理し、期限直前のSQLを禁止する。</t>
  </si>
  <si>
    <t>主案より残りdeadlineへの協調が弱い。false設定だけで安全とせず、JTA/SQL競合とrollback時間の試験を必須にする。</t>
  </si>
  <si>
    <t>S05 / 設計例</t>
  </si>
  <si>
    <t>行ロック待ち：5秒</t>
  </si>
  <si>
    <t>鍵待ちが原因なら、一問10秒より先に諦める目安です。</t>
  </si>
  <si>
    <t>候補：innodb_lock_wait_timeout=5秒。行ロック待ちの短い応答を重視するオンライン例。SQL処理やmetadata lockの全体期限ではない。</t>
  </si>
  <si>
    <t>採用条件：正常なロック保持時間との比較、1205時の全体rollback確認。GLOBAL/SESSIONとpoolの実効値を一致させる。</t>
  </si>
  <si>
    <t>S29 S30 / 設計例</t>
  </si>
  <si>
    <t>接続確立：5000ms</t>
  </si>
  <si>
    <t>起動済みの係への最初の電話の目安です。</t>
  </si>
  <si>
    <t>候補：Connector/J connectTimeout=5000ミリ秒（5秒）。物理接続へ設定。既存のpooled connectionが使える場合には、この接続確立が毎request起こるわけではない。</t>
  </si>
  <si>
    <t>採用条件：起動済みwriter前提。0 ACU再開を許す場合は再開SLAを測り、別の値や最小ACU構成を検討する。</t>
  </si>
  <si>
    <t>S13 S33 / 設計例</t>
  </si>
  <si>
    <t>通信待ち：30000ms</t>
  </si>
  <si>
    <t>電話がつながった後、返事のない待ちを有限にします。</t>
  </si>
  <si>
    <t>候補：socketTimeout=30000ミリ秒（30秒）。通常SQLだけでなく内部XA commandの物理接続にも有効な設定であることを確認。recovery用接続も確認する。</t>
  </si>
  <si>
    <t>採用条件：prepare/commitの正常な裾時間、network blackhole、取消失敗、壊れた接続の破棄。2PC総時間30秒の保証として採用しない。</t>
  </si>
  <si>
    <t>S10 S13 / 設計例</t>
  </si>
  <si>
    <t>pool待ち：3000ms</t>
  </si>
  <si>
    <t>席が空くまでの待ちの目安です。</t>
  </si>
  <si>
    <t>候補：blocking-timeout-wait-millis=3000ミリ秒（3秒）。CLI属性名はXMLのblocking-timeout-millisとは異なる。pool permit等の待ちを制限し、接続作成全体の長時間を保証するものではない。</t>
  </si>
  <si>
    <t>採用条件：負荷時のpool使用率と待ち、max/min pool、DB接続上限。短くするだけでpool枯渇の根本原因を解消しない。</t>
  </si>
  <si>
    <t>S01 S03 / 設計例</t>
  </si>
  <si>
    <t>外側応答予算：90秒</t>
  </si>
  <si>
    <t>画面へ結果を返す時間も別に決めます。</t>
  </si>
  <si>
    <t>説明例H=90秒。request前後処理と通常の失敗通知の余裕を想定。具体的HTTP/proxy/client設定名は経路が未指定のため固定しない。HはJTA期限を自動延長・停止させる設定ではない。</t>
  </si>
  <si>
    <t>採用条件：利用者が待てるSLA、proxy/LB/clientの全経路、結果不明時の照会方法。2PC recovery終了の保証ではない。</t>
  </si>
  <si>
    <t>取消スイッチ</t>
  </si>
  <si>
    <t>一問の時計はON。電話ごと切る方式は影響を見て決めます。</t>
  </si>
  <si>
    <t>出発点：enableQueryTimeouts=true、queryTimeoutKillsConnection=false。正のStatement timeoutを実際に動かし、取消後は業務全体をrollbackする方針にする。</t>
  </si>
  <si>
    <t>trueで接続強制終了へ変える場合はprepared branch、pool、TM recoveryへの影響を独立に検証する。</t>
  </si>
  <si>
    <t>完了用reserve：20秒</t>
  </si>
  <si>
    <t>確定または取消の時間と、安全な余白をあらかじめ取ります。</t>
  </si>
  <si>
    <t>説明例：2PC10秒、取消＋rollback15秒、安全余裕5秒→max(10,15)+5=20秒。R&lt;=20なら新SQLを始めない。R25ならSQLは最大5秒の予算にする。</t>
  </si>
  <si>
    <t>アプリ側の予算。EAPの4設定にreserve属性があるという意味ではない。値は実測した分布から見直す。</t>
  </si>
  <si>
    <t>設計例 / S05</t>
  </si>
  <si>
    <t>悪い例：全部60秒</t>
  </si>
  <si>
    <t>全部のベルを同じ時間にすると、片付けのベルも同時になります。</t>
  </si>
  <si>
    <t>JTA60、query60、socket60000、HTTP60は、起点が異なる上に後始末余裕が乏しい。true時のquery上書きやXA非対応を考慮しないと、数字を合わせても実効の整合性は得られない。</t>
  </si>
  <si>
    <t>各設定の目的から決める。見た目の一致ではなく、実行時の締切と復旧可能性をレビューする。</t>
  </si>
  <si>
    <t>S05 S10 S13 / 設計例</t>
  </si>
  <si>
    <t>悪い例：JTA0＋XA60</t>
  </si>
  <si>
    <t>全体時計を長くして、使えない係の時計だけに頼ることになります。</t>
  </si>
  <si>
    <t>EAPの0はmaximum-timeoutとの関係があり、Connector/JのXA60はRM期限を強制しない。SQL外の待機や複数SQLの全体寿命を制限する十分な設定にはならない。</t>
  </si>
  <si>
    <t>有限の業務JTA値を使い、個別SQL・通信・recoveryの保護を併用する。</t>
  </si>
  <si>
    <t>S01 S10 S18</t>
  </si>
  <si>
    <t>確定前の情報不足</t>
  </si>
  <si>
    <t>時間割を本決めする前に、実際の授業時間と混雑を測ります。</t>
  </si>
  <si>
    <t>現在の4設定値、EAP patch、JVM、ORM版、XA参加者、SQL数、SLA、ACU範囲、auto-pause有無、HTTP経路、通常/復旧接続が未確認。候補値の妥当性をこの情報と実機試験で確定する。</t>
  </si>
  <si>
    <t>15の青いセルへ実測・実構成値を入れ、19の試験を実施する。Excelの計算OKは実システム検証成功ではない。</t>
  </si>
  <si>
    <t>実環境の未確認事項</t>
  </si>
  <si>
    <t>設定値を変えて整合性を確認する</t>
  </si>
  <si>
    <t>青いB列＝入力、緑のE列＝計算。教育用モデル。実システムへの接続・設定変更は行わない。</t>
  </si>
  <si>
    <t>入力項目</t>
  </si>
  <si>
    <t>変更する値</t>
  </si>
  <si>
    <t>単位</t>
  </si>
  <si>
    <t>計算・診断</t>
  </si>
  <si>
    <t>結果（自動計算）</t>
  </si>
  <si>
    <t>JTAの業務予算 T</t>
  </si>
  <si>
    <t>秒</t>
  </si>
  <si>
    <t>JTA残りR（モデル）</t>
  </si>
  <si>
    <t>経過時間 e</t>
  </si>
  <si>
    <t>Rの整数秒への切り上げ</t>
  </si>
  <si>
    <t>固定query-timeout Q</t>
  </si>
  <si>
    <t>SQL実効timeout q_eff</t>
  </si>
  <si>
    <t>秒/拒否</t>
  </si>
  <si>
    <t>Statement個別期限 P</t>
  </si>
  <si>
    <t>固定Qと個別Pの扱い</t>
  </si>
  <si>
    <t>正の個別Pを使用</t>
  </si>
  <si>
    <t>説明</t>
  </si>
  <si>
    <t>真偽</t>
  </si>
  <si>
    <t>終了用reserve K</t>
  </si>
  <si>
    <t>JTAに参加中</t>
  </si>
  <si>
    <t>reserve後のSQL可用秒数</t>
  </si>
  <si>
    <t>行ロック待ち L</t>
  </si>
  <si>
    <t>業務側の次SQL予算</t>
  </si>
  <si>
    <t>秒/判断</t>
  </si>
  <si>
    <t>socketTimeout</t>
  </si>
  <si>
    <t>ms</t>
  </si>
  <si>
    <t>業務全体の予算合計</t>
  </si>
  <si>
    <t>connectTimeout</t>
  </si>
  <si>
    <t>JTA予算との差 T−合計</t>
  </si>
  <si>
    <t>pool待ち</t>
  </si>
  <si>
    <t>外側予算との差 H−合計</t>
  </si>
  <si>
    <t>SQL外の処理 A</t>
  </si>
  <si>
    <t>Connector/J9.7.0のXA値</t>
  </si>
  <si>
    <t>非対応：RM期限を設定しない</t>
  </si>
  <si>
    <t>常に非対応</t>
  </si>
  <si>
    <t>SQLの本数 N</t>
  </si>
  <si>
    <t>本</t>
  </si>
  <si>
    <t>行ロック待ちとの比較</t>
  </si>
  <si>
    <t>行ロック待ちが短い</t>
  </si>
  <si>
    <t>予定値</t>
  </si>
  <si>
    <t>2PC予定予算 V</t>
  </si>
  <si>
    <t>socket設定との比較</t>
  </si>
  <si>
    <t>SQL予定値が短い</t>
  </si>
  <si>
    <t>取消＋rollback予算 U</t>
  </si>
  <si>
    <t>外側HとJTA Tの比較</t>
  </si>
  <si>
    <t>外側HはJTA Tより長い</t>
  </si>
  <si>
    <t>安全余裕 M</t>
  </si>
  <si>
    <t>予算モデルの総合判定</t>
  </si>
  <si>
    <t>予算の余裕あり（実機未検証）</t>
  </si>
  <si>
    <t>実機未検証</t>
  </si>
  <si>
    <t>外側応答予算 H</t>
  </si>
  <si>
    <t>確認のポイント</t>
  </si>
  <si>
    <t>初期値の読み方</t>
  </si>
  <si>
    <t>R52、q_eff10、reserve20、全体予算52、JTAとの差8秒。すべて説明用の候補で、現在の実環境値ではない。</t>
  </si>
  <si>
    <t>計算式は編集不要。青い入力セルのみ変更。</t>
  </si>
  <si>
    <t>落とし穴の操作例</t>
  </si>
  <si>
    <t>個別P（B9）を0にすると、true＋JTAありではq_eff52になり、固定Q10は上限にならない。全体予算はSQL上限未確定になる。</t>
  </si>
  <si>
    <t>不足の操作例</t>
  </si>
  <si>
    <t>SQL本数N（B17）を3にすると、全体予算62秒、JTAとの差−2秒。Q/PがTより小さくても全体予算が不足する。</t>
  </si>
  <si>
    <t>期限直前の操作例</t>
  </si>
  <si>
    <t>経過e（B7）を55にするとR5、q_eff5、reserve後0。次SQLは開始しない。経過を60にするとtrue＋JTAありのSQL実行を拒否するモデル。</t>
  </si>
  <si>
    <t>JTAなしの扱い</t>
  </si>
  <si>
    <t>参加中=falseならq_effはPまたはQ。Rと業務reserveの欄はアプリ予算モデルとして残るが、実JTAが存在するという意味ではない。</t>
  </si>
  <si>
    <t>予算式の前提</t>
  </si>
  <si>
    <t>N本直列、物理接続作成1回、pool待ち1回、SQL外A、max(2PC,取消＋rollback)+余裕の保守モデル。実経路の重複は調整する。</t>
  </si>
  <si>
    <t>保証できないこと</t>
  </si>
  <si>
    <t>socketは総経過期限ではなく、SQL取消・rollback・2PC/recoveryの完了時刻も保証しない。『予算余裕あり』は実機試験合格を意味しない。</t>
  </si>
  <si>
    <t>正の個別SQL予算</t>
  </si>
  <si>
    <t>次SQL予算はreserveを残すための業務側の設定候補。これを自動でStatementへ書く実装は行わない。Pなしなら、候補を正のPとして明示し検証する。</t>
  </si>
  <si>
    <t>モデル外の状態</t>
  </si>
  <si>
    <t>TMから残り取得不可、既存StatementのtimeoutSet、rollback-only、CMT境界、ORM変換、異なるRMは計算器で再現しない。08/19で確認する。</t>
  </si>
  <si>
    <t>確認コマンド・設定例</t>
  </si>
  <si>
    <t>① 先に記録する</t>
  </si>
  <si>
    <t>いまの時間割を写してから、試験用の時間割を決めます。</t>
  </si>
  <si>
    <t>/subsystem=transactions:read-resource(include-defaults=true,include-runtime=true)
/subsystem=datasources:read-children-names(child-type=xa-data-source)</t>
  </si>
  <si>
    <t>EAP管理CLI内の読み取り例。transaction既定、maximum-timeout、node-identifier、object-store設定、XA datasource名を記録。出力に認証情報が含まれる場合は資料へ転載しない。</t>
  </si>
  <si>
    <t>S01 S03</t>
  </si>
  <si>
    <t>② XA datasourceを読む</t>
  </si>
  <si>
    <t>対象の係だけの設定を確認します。</t>
  </si>
  <si>
    <t>/subsystem=datasources/xa-data-source=XA_DS:read-resource(include-defaults=true,include-runtime=true,recursive=true)</t>
  </si>
  <si>
    <t>XA_DSを実際の管理名へ置き換える。JNDI名と管理リソース名を混同しない。driver、XA class、4設定、pool、recovery、propertiesを確認。秘密値は共有前に伏せる。</t>
  </si>
  <si>
    <t>③ 属性定義を読む</t>
  </si>
  <si>
    <t>秒なのかミリ秒なのか、変更後に再起動が必要かを説明書で見ます。</t>
  </si>
  <si>
    <t>/subsystem=datasources/xa-data-source=XA_DS:read-resource-description(recursive=false)
/subsystem=transactions:read-resource-description(recursive=false)</t>
  </si>
  <si>
    <t>実機管理モデルでdefault、型、単位、restart-requiredを確認する。EAP 8.0/WildFlyの別版modelを8.1実機の代用保証にしない。</t>
  </si>
  <si>
    <t>④ 4設定を個別に読む</t>
  </si>
  <si>
    <t>何が設定されているかを、四つの欄で確認します。</t>
  </si>
  <si>
    <t>/subsystem=transactions:read-attribute(name=default-timeout)
/subsystem=datasources/xa-data-source=XA_DS:read-attribute(name=xa-resource-timeout)
/subsystem=datasources/xa-data-source=XA_DS:read-attribute(name=query-timeout)
/subsystem=datasources/xa-data-source=XA_DS:read-attribute(name=set-tx-query-timeout)</t>
  </si>
  <si>
    <t>undefinedとアダプターの実効既定を区別する。値が読めたことは、ドライバーがXA timeoutを実装する証拠ではない。</t>
  </si>
  <si>
    <t>S01 S08 S09 S10</t>
  </si>
  <si>
    <t>⑤ ドライバーを確認</t>
  </si>
  <si>
    <t>登録名だけでなく、実際の道具の型番を見ます。</t>
  </si>
  <si>
    <t>/subsystem=datasources:installed-drivers-list</t>
  </si>
  <si>
    <t>実ロードされたdriver名、major/minor、module/JAR、driver class、XADataSource classを確認。標準XA classはcom.mysql.cj.jdbc.MysqlXADataSource。JARの完全版はmanifest/module情報でも確認する。</t>
  </si>
  <si>
    <t>S03 S10</t>
  </si>
  <si>
    <t>⑥ DB版と行ロック時間</t>
  </si>
  <si>
    <t>台帳の版と、各セッションでの鍵待ち時間を読みます。</t>
  </si>
  <si>
    <t>SELECT VERSION(), AURORA_VERSION();
SELECT @@GLOBAL.innodb_lock_wait_timeout,
       @@SESSION.innodb_lock_wait_timeout;</t>
  </si>
  <si>
    <t>読むだけのSQL例。アプリと同じ物理セッションのSESSION値を確認する。管理ツールの別セッションだけを見てアプリの値と同一と判断しない。</t>
  </si>
  <si>
    <t>S29 S31</t>
  </si>
  <si>
    <t>⑦ DBの関連変数</t>
  </si>
  <si>
    <t>準備済み仕事の扱いと、失敗時に戻す範囲を確認します。</t>
  </si>
  <si>
    <t>SELECT @@SESSION.xa_detach_on_prepare,
       @@GLOBAL.innodb_rollback_on_timeout,
       @@GLOBAL.innodb_deadlock_detect;</t>
  </si>
  <si>
    <t>Auroraで実際に許可・公開される変数と値を確認。設定変更はしない読み取り例。JDBCのsocketTimeout/enableQueryTimeoutsはこれらのDB変数ではない。</t>
  </si>
  <si>
    <t>S27 S29 S30 S41</t>
  </si>
  <si>
    <t>⑧ preparedの確認</t>
  </si>
  <si>
    <t>準備済みの番号一覧を見ます。</t>
  </si>
  <si>
    <t>XA RECOVER CONVERT XID;</t>
  </si>
  <si>
    <t>読み取り用。XA_RECOVER_ADMIN等の権限とwriter接続を確認。出力には開始時刻がないので、継続監視で初回検知時刻を記録する。取得結果を自動rollbackへ直結させない。</t>
  </si>
  <si>
    <t>S27 S40</t>
  </si>
  <si>
    <t>⑨ ロック待ちの確認</t>
  </si>
  <si>
    <t>待つ人と鍵を持つ人を調べます。</t>
  </si>
  <si>
    <t>SELECT * FROM performance_schema.data_lock_waits;
SELECT * FROM performance_schema.data_locks;</t>
  </si>
  <si>
    <t>診断読み取りの入口。大量結果・SQL/業務値・機密情報の扱いに注意し、実運用では必要列と条件を絞る。必要な権限とperformance_schema設定も確認する。</t>
  </si>
  <si>
    <t>S29 / 検証計画</t>
  </si>
  <si>
    <t>候補JTA値を設定する例</t>
  </si>
  <si>
    <t>検証環境で全体60秒にする例です。</t>
  </si>
  <si>
    <t>/subsystem=transactions:write-attribute(name=default-timeout,value=60)</t>
  </si>
  <si>
    <t>この資料には例を記載しただけで実行していない。複数業務が同居する場合、サーバー既定変更の影響を確認し、必要なら個別timeoutを利用する。</t>
  </si>
  <si>
    <t>候補のXA/SQL設定例</t>
  </si>
  <si>
    <t>試験用の4設定を、正式な名前で書きます。</t>
  </si>
  <si>
    <t>/subsystem=datasources/xa-data-source=XA_DS:write-attribute(name=xa-resource-timeout,value=0)
/subsystem=datasources/xa-data-source=XA_DS:write-attribute(name=query-timeout,value=10)
/subsystem=datasources/xa-data-source=XA_DS:write-attribute(name=set-tx-query-timeout,value=true)</t>
  </si>
  <si>
    <t>true主案はアプリ/ORMの正の個別10秒を併用する。これら三行だけでSQLが必ず10秒にならない。変更適用/reloadの要否をレスポンスと管理モデルで確認する。</t>
  </si>
  <si>
    <t>S01 S05 S10</t>
  </si>
  <si>
    <t>候補pool値を設定する例</t>
  </si>
  <si>
    <t>席待ち3秒の設定名は、CLIとXMLで違います。</t>
  </si>
  <si>
    <t>/subsystem=datasources/xa-data-source=XA_DS:write-attribute(name=blocking-timeout-wait-millis,value=3000)</t>
  </si>
  <si>
    <t>管理CLI属性はblocking-timeout-wait-millis。XML要素はblocking-timeout-millis。新規物理接続の確立全体がこの3秒で終わる保証ではない。</t>
  </si>
  <si>
    <t>XA接続のproperty例</t>
  </si>
  <si>
    <t>電話の時計は、XA係が使う物理接続へ渡します。</t>
  </si>
  <si>
    <t>/subsystem=datasources/xa-data-source=XA_DS/xa-datasource-properties=connectTimeout:add(value=5000)
/subsystem=datasources/xa-data-source=XA_DS/xa-datasource-properties=socketTimeout:add(value=30000)</t>
  </si>
  <si>
    <t>未登録propertyの追加例。すでに存在する場合は同じresourceのwrite-attribute(name=value,value=...)を使う。通常datasourceのconnection-urlだけを変更してXA物理接続にも反映したと考えない。</t>
  </si>
  <si>
    <t>S03 S10 S13</t>
  </si>
  <si>
    <t>取消関連propertyの例</t>
  </si>
  <si>
    <t>一問の時計を有効にし、電話ごと切る方式は既定を維持する例です。</t>
  </si>
  <si>
    <t>/subsystem=datasources/xa-data-source=XA_DS/xa-datasource-properties=enableQueryTimeouts:add(value=true)
/subsystem=datasources/xa-data-source=XA_DS/xa-datasource-properties=queryTimeoutKillsConnection:add(value=false)</t>
  </si>
  <si>
    <t>追加前に現在のresourceを読む。property名はConnector/JとXADataSourceのsetter対応を実機で確認。変更が新しい物理接続だけに効く場合、適用手順で接続を再作成する。</t>
  </si>
  <si>
    <t>S03 S14 S15</t>
  </si>
  <si>
    <t>XMLのtimeout断片</t>
  </si>
  <si>
    <t>同じ設定をXMLで書くときの見本です。</t>
  </si>
  <si>
    <t>&lt;timeout&gt;
  &lt;blocking-timeout-millis&gt;3000&lt;/blocking-timeout-millis&gt;
  &lt;set-tx-query-timeout&gt;true&lt;/set-tx-query-timeout&gt;
  &lt;query-timeout&gt;10&lt;/query-timeout&gt;
  &lt;xa-resource-timeout&gt;0&lt;/xa-resource-timeout&gt;
&lt;/timeout&gt;</t>
  </si>
  <si>
    <t>既存xa-datasourceの対応箇所の概念例。XML namespace/schemaに従う。standalone.xml全体を置換せず、実schemaを確認して必要箇所だけ変更する。</t>
  </si>
  <si>
    <t>S01 S37</t>
  </si>
  <si>
    <t>managed domain</t>
  </si>
  <si>
    <t>共通の時間割と、動いている教室の値を分けて見ます。</t>
  </si>
  <si>
    <t>設定例では/subsystem=...の前に/profile=PROFILE_NAMEを付ける。
実行中serverの読み取りは/host=HOST/server=SERVER/subsystem=...の対象を確認する。</t>
  </si>
  <si>
    <t>すべてのserver group/profileへ一律適用しない。対象profile、実行server、ローリング適用、必要なrestartを確認する。</t>
  </si>
  <si>
    <t>設定適用後の確認</t>
  </si>
  <si>
    <t>紙の値と、新しく使う係の時計が一致したか見ます。</t>
  </si>
  <si>
    <t>変更レスポンスのprocess-state/reload-required、read-attribute、実効JDBC properties、新物理接続のSESSION値、SQL取消の実測を確認する。接続再作成が必要な変更を設定ファイル変更だけで完了としない。</t>
  </si>
  <si>
    <t>pool全flushや本番再起動をこの資料作成で実行しない。必要な適用作業は既存運用手順に沿って行う。</t>
  </si>
  <si>
    <t>S03 / 検証計画</t>
  </si>
  <si>
    <t>元に戻す方法を記録</t>
  </si>
  <si>
    <t>試験前の時間割へ戻せるよう、値と未指定状態を保存します。</t>
  </si>
  <si>
    <t>値が存在した属性は元値へwrite-attribute。元が未指定ならundefine-attribute(name=...)を検討。新規property追加なら対象propertyだけを元の有無へ戻す。必要なreload/物理接続再作成も記録する。</t>
  </si>
  <si>
    <t>一律に300/0/falseへ戻すのではなく、試験前の実際の構成を保存して復帰する。</t>
  </si>
  <si>
    <t>S01 S03 / 検証手順</t>
  </si>
  <si>
    <t>コードの抜粋・しくみ</t>
  </si>
  <si>
    <t>CMT：EJBの個別期限</t>
  </si>
  <si>
    <t>先生がtransactionを管理する方式の例です。</t>
  </si>
  <si>
    <t>import org.jboss.ejb3.annotation.TransactionTimeout;
import java.util.concurrent.TimeUnit;
@TransactionTimeout(value = 60, unit = TimeUnit.SECONDS)
public void updateOrder() { /* 業務処理 */ }</t>
  </si>
  <si>
    <t>EAP固有のannotation例。新規transactionの境界で設定を評価する。REQUIREDで既存transactionに参加して、その期限を60秒へ延ばす例ではない。実際のEJB/CMT構成に合わせる。</t>
  </si>
  <si>
    <t>S18 S42</t>
  </si>
  <si>
    <t>BMT：開始前に設定</t>
  </si>
  <si>
    <t>自分でtransactionを始める方式では、先に時計を決めます。</t>
  </si>
  <si>
    <t>import jakarta.transaction.UserTransaction;
ut.setTransactionTimeout(60);
ut.begin();
// この後にXA datasource等を利用する</t>
  </si>
  <si>
    <t>BMT用の流れ。CMTで自由にbegin/commitする例ではない。後続の既定復帰と例外処理は別行を参照。javax.transaction.xaとjavax.sqlはJava SEのまま。</t>
  </si>
  <si>
    <t>S17 S18</t>
  </si>
  <si>
    <t>業務側の時計を用意</t>
  </si>
  <si>
    <t>先生の時計に加えて、片付けを残す自分の時計も見ます。</t>
  </si>
  <si>
    <t>long appDeadlineNanos = System.nanoTime()
    + TimeUnit.SECONDS.toNanos(60);
// BMT例ではbegin直前に取得し、同じ業務内で保持する</t>
  </si>
  <si>
    <t>monotonic clockによるアプリ予算の例。Narayanaの正式な残り時間そのものではない。CMTで既存transactionに参加した時点から60秒を新規計測すると期限がずれるので採用しない。</t>
  </si>
  <si>
    <t>S18 / 設計例</t>
  </si>
  <si>
    <t>reserveを差し引く</t>
  </si>
  <si>
    <t>残りから片付け20秒を引いて、一問の時間を決めます。</t>
  </si>
  <si>
    <t>long left = appDeadlineNanos - System.nanoTime();
long usableSeconds = (long) Math.floor(
    left / 1_000_000_000.0) - 20;
if (usableSeconds &lt; 1)
    throw new java.sql.SQLTimeoutException(
        "終了処理の予算不足");</t>
  </si>
  <si>
    <t>終了用reserve20秒は検証例。DBやNarayanaの特別な設定属性ではない。0をsetQueryTimeoutへ渡さず、新SQLを開始しない判断にする。例外をcatchして成功扱いにしない。</t>
  </si>
  <si>
    <t>正の個別SQL期限</t>
  </si>
  <si>
    <t>一問は10秒まで、片付けを残した残りが短ければその秒数にします。</t>
  </si>
  <si>
    <t>int seconds = (int) Math.min(10L, usableSeconds);
try (java.sql.PreparedStatement ps = con.prepareStatement(
        "UPDATE example_table SET value=? WHERE id=?")) {
    ps.setQueryTimeout(seconds);
    // bindParameters(ps);
    ps.executeUpdate();
}</t>
  </si>
  <si>
    <t>架空のテーブルを使う抜粋。業務パラメーターはPreparedStatementで束縛する。set-tx=trueなら、代表ラッパーがJTA残りとの短い方へさらに制限する。アプリのreserve時計を実JTA期限と混同しない。</t>
  </si>
  <si>
    <t>S05 S07 S16 / 設計例</t>
  </si>
  <si>
    <t>commit前の判定</t>
  </si>
  <si>
    <t>最後の相談を始める前にも、必要な時間が残っているか見ます。</t>
  </si>
  <si>
    <t>long remainingNanos = appDeadlineNanos - System.nanoTime();
if (remainingNanos &lt; TimeUnit.SECONDS.toNanos(15))
    throw new java.sql.SQLTimeoutException(
        "commit前の予算不足");
// BMT例：ut.commit();</t>
  </si>
  <si>
    <t>説明例は2PC10秒＋安全余裕5秒の15秒。未flushのSQLを含めて予算化する。実際の2PCを構成するには他XA参加者も必要で、この一つのDB抜粋だけで2PCを実現したとは言わない。</t>
  </si>
  <si>
    <t>S20 S21 / 設計例</t>
  </si>
  <si>
    <t>必須SQL失敗後</t>
  </si>
  <si>
    <t>失敗したセットを成功として次へ進めません。</t>
  </si>
  <si>
    <t>// CMT: 業務ポリシーに従いrollback-only/例外伝播
// BMT: 状態がACTIVEまたはMARKED_ROLLBACKならrollback
// rollbackの例外は元例外へaddSuppressed等で保持
// SQLTimeoutException / lock timeoutを成功として返さない</t>
  </si>
  <si>
    <t>CMTとBMTの責務を混ぜない。CMTではコンテナの例外ルールと業務例外設定を確認。BMTでcommit失敗が結果不明になった場合、状態照会せず逆のrollbackを無条件に指示しない。</t>
  </si>
  <si>
    <t>S18 S23 S25 / 実装方針</t>
  </si>
  <si>
    <t>BMTの既定復帰</t>
  </si>
  <si>
    <t>次の仕事へ特別な60秒を持ち越さないよう、既定へ戻します。</t>
  </si>
  <si>
    <t>// begin/commit/rollbackの処理を囲むfinally側で
// ut.setTransactionTimeout(0);
// 元例外がある場合、復帰失敗はその元例外へ記録し、
// finallyの新例外で原因を隠さない</t>
  </si>
  <si>
    <t>0はJTA APIの既定復帰で、無制限の要求ではない。スレッドを再利用する環境で設定を漏らさない。完全な例外処理は既存設計に合わせて実装する。</t>
  </si>
  <si>
    <t>S18 / 実装方針</t>
  </si>
  <si>
    <t>ORMで置き換える場合</t>
  </si>
  <si>
    <t>ORMが用紙を作るなら、用紙に正しい秒数が書かれたか確かめます。</t>
  </si>
  <si>
    <t>ORMのQuery/Session/APIで正の個別timeoutを指定し、生成JDBC Statementの実効値を検証する。query hintの単位とprovider変換を確認。flushやlazy fetchも対象範囲に含める。</t>
  </si>
  <si>
    <t>ORM名・版は未提供なので、この資料に未確認の製品固有APIを完成コードとして示さない。JDBC10秒に対応する入力を利用版の公式仕様で確認する。</t>
  </si>
  <si>
    <t>S16 S20 / 未確認ORM</t>
  </si>
  <si>
    <t>この例の限界</t>
  </si>
  <si>
    <t>見本の工作は、実際の学校の道具で試してから使います。</t>
  </si>
  <si>
    <t>コードは設計を説明する抜粋で、完全なEJB、依存設定、全参加XAリソース、冪等キー、recovery運用を含まない。ここではJavaビルド、EJBデプロイ、DB接続試験を実施していない。</t>
  </si>
  <si>
    <t>本番へそのままコピーせず、既存のCMT/BMT・ORM・エラー表現に沿って必要範囲を実装し、19の試験で確認する。</t>
  </si>
  <si>
    <t>実施範囲の明示</t>
  </si>
  <si>
    <t>① 最初の事実を集める</t>
  </si>
  <si>
    <t>どのベルが鳴り、いつ、どの仕事が止まったかを記録します。</t>
  </si>
  <si>
    <t>request/取引ID、JTA UID、Xid、DB connection id、開始時刻、SQL名、例外とcause、transaction状態を集める。通信エラーが先かJTA警告が先かを時系列で比較する。</t>
  </si>
  <si>
    <t>SQL全文やbind値、資格情報は不用意にログへ出さない。事実と原因仮説を分けて書く。</t>
  </si>
  <si>
    <t>S03 S19 S23 / 運用方針</t>
  </si>
  <si>
    <t>② 時計を分類する</t>
  </si>
  <si>
    <t>全体、一問、鍵待ち、電話のどれかを見分けます。</t>
  </si>
  <si>
    <t>ARJUNA/ReaperはJTA、SQLTimeoutException等はquery、1205は行ロック待ち、1213はdeadlock、socket/read/connect例外は通信の候補。例外のcauseとdriver error codeを確認し、名称だけで原因を断定しない。</t>
  </si>
  <si>
    <t>XA例外はドライバーでSQL errorからmappingされ得る。XA_RBTIMEOUTが出たことだけでxa-resource-timeout設定が効いたと断定しない。</t>
  </si>
  <si>
    <t>S10 S16 S19 S29 S30</t>
  </si>
  <si>
    <t>ARJUNA012117</t>
  </si>
  <si>
    <t>全体の見回り係が、期限を過ぎた番号を見つけた警告です。</t>
  </si>
  <si>
    <t>TransactionReaper::check timeout for TX ... in state ... の警告は期限検知の証拠。stateを読む。SQLが停止済み、rollback完了、2PC全体が未反映という証拠ではない。</t>
  </si>
  <si>
    <t>後続のReaper worker警告、transaction status、DB SQLとロックの状態を追う。</t>
  </si>
  <si>
    <t>S19 S24</t>
  </si>
  <si>
    <t>複数thread警告</t>
  </si>
  <si>
    <t>作業中の人がまだいるところへ、別の係が片付けを始めたことを示す場合があります。</t>
  </si>
  <si>
    <t>rollbackと業務threadが重なった場合、複数threadやcancelに関するARJUNA警告が出ることがある。警告自体を単に消す設定を根本対策としない。</t>
  </si>
  <si>
    <t>SQL/外部I/Oの待ち、JTA終了タイミング、query期限、callback、排他のstack traceを確認する。</t>
  </si>
  <si>
    <t>S19 S21 S24</t>
  </si>
  <si>
    <t>③ SQLが終わったか</t>
  </si>
  <si>
    <t>ベルのあとも、係が問題を解き続けていないかを見ます。</t>
  </si>
  <si>
    <t>DBのprocess/thread情報とSQL実行状態、アプリthread dumpを比較する。CancelQueryTaskの取消接続や、元threadのsocket readを観察する。例外時刻とDB停止時刻は別に取る。</t>
  </si>
  <si>
    <t>SQLが止まっていてもtransactionやprepared branchが残ることがある。次の確認へ進む。</t>
  </si>
  <si>
    <t>S11 S12 S27 / 運用方針</t>
  </si>
  <si>
    <t>④ lockが解放されたか</t>
  </si>
  <si>
    <t>問題をやめた後に、鍵を返したかも確かめます。</t>
  </si>
  <si>
    <t>data_locks/data_lock_waitsと関連transactionで、blockerとwaiterの状態を調べる。現在statementのrollback、全体rollback、commitのどれが行われたかを確認する。</t>
  </si>
  <si>
    <t>待機SQLが1205で失敗したことと、保持元のlockが解放されたことを混同しない。</t>
  </si>
  <si>
    <t>⑤ preparedが残るか</t>
  </si>
  <si>
    <t>準備済みのまま返事待ちの仕事を調べます。</t>
  </si>
  <si>
    <t>writerでXA RECOVERを読み、TMのobject storeとXidを照合する。アプリのJTA timeoutだけではprepared branchの最終結果は分からない。MySQL8.4では別接続に切り離されたXAも考慮。</t>
  </si>
  <si>
    <t>Xidの所有者、node、決定、継続時間を確認。preparedを一律にkill/rollbackする運用は採らない。</t>
  </si>
  <si>
    <t>S03 S25 S26 S27 S40</t>
  </si>
  <si>
    <t>⑥ 決定ログを保全する</t>
  </si>
  <si>
    <t>先生の帳面を消すと、どちらへそろえるか分からなくなります。</t>
  </si>
  <si>
    <t>Narayana object storeの耐久性、保存先、node-identifier、再起動後の同じログへのアクセスを確認する。未解決ログを削除して警告だけ止めると、復旧判断に必要な情報を失う。</t>
  </si>
  <si>
    <t>障害調査ではログの保全を優先。手動介入が必要なら所有TMと各RMの状態を合わせて判断する。</t>
  </si>
  <si>
    <t>S01 S03 S24 S25</t>
  </si>
  <si>
    <t>⑦ recovery接続</t>
  </si>
  <si>
    <t>復旧係が台帳へ入れず、仕事番号を読めないと解決できません。</t>
  </si>
  <si>
    <t>recovery用URL、writer、資格情報、XA_RECOVER_ADMIN等の最小権限、ネットワークtimeout、no-recovery設定を確認する。通常アプリ接続が成功してもrecovery接続が別条件なら失敗し得る。</t>
  </si>
  <si>
    <t>本資料ではno-recovery=trueを推奨しない。重複resourceのrecovery方針は既存構成を確認して設計する。</t>
  </si>
  <si>
    <t>S03 S13 S40</t>
  </si>
  <si>
    <t>⑧ 最終業務結果</t>
  </si>
  <si>
    <t>画面のエラーだけでなく、本を買ったか、お金を払ったかを確認します。</t>
  </si>
  <si>
    <t>commit応答消失は結果不明。取引ID・冪等キーを使い、各RMの業務状態とTM/recoveryの最終結果を照会する。通信timeoutを未commitとして無条件に再実行しない。</t>
  </si>
  <si>
    <t>応答形式には結果不明・処理中・確定済みの区別を業務要件に合わせて持たせる。クライアント再試行もその状態に従う。</t>
  </si>
  <si>
    <t>S25 / 運用方針</t>
  </si>
  <si>
    <t>JTA統計</t>
  </si>
  <si>
    <t>全体の失敗が増えたのかを数えます。</t>
  </si>
  <si>
    <t>有効化されたtransactions統計でtimeout、rollback、commit、heuristic等を観察する。統計attribute名は実機のread-resource-descriptionで確認。transaction数の増加とpool/DB負荷の相関を取る。</t>
  </si>
  <si>
    <t>監視のための統計有効化は既存運用と負荷影響を確認する。Excel作成中に実設定を変更していない。</t>
  </si>
  <si>
    <t>S01 S02 / 監視設計</t>
  </si>
  <si>
    <t>XAの段階別統計</t>
  </si>
  <si>
    <t>準備の電話が遅いのか、確定の電話が遅いのかを分けます。</t>
  </si>
  <si>
    <t>EAP datasourceのXAStart/XAEnd/XAPrepare/XACommit/XARollbackのCount、AverageTime、MaxTime等を見る。平均だけでなく最大やアプリ側の分布も記録。単位はミリ秒。</t>
  </si>
  <si>
    <t>XAPrepareCountの増加は2PC観測の手掛かり。single RM最適化や統計有効化条件があるため、Countだけで全transaction構造を断定しない。</t>
  </si>
  <si>
    <t>pool監視</t>
  </si>
  <si>
    <t>席が埋まり、次の子が待ち続けていないかを見ます。</t>
  </si>
  <si>
    <t>Active/InUse/Available、待ち時間、timeout、connection creation、破棄・再作成を観察する。SQLやXAの長い待ちがpool枯渇へ波及することがある。</t>
  </si>
  <si>
    <t>blockerのlock/長時間SQLとpoolの滞留を同じ時刻で比べる。poolを増やすだけでDB競合が悪化する場合もある。</t>
  </si>
  <si>
    <t>S01 S03 / 監視設計</t>
  </si>
  <si>
    <t>Aurora容量監視</t>
  </si>
  <si>
    <t>係の人数と混雑が、長いSQLと一緒に増えているかを見ます。</t>
  </si>
  <si>
    <t>ACU、容量上限、CPU、メモリー、DB負荷、接続数、lock wait、writer切替等のイベントを時間軸で合わせる。低ACUからの負荷増加や復帰の影響を観察する。</t>
  </si>
  <si>
    <t>capacityとtimeoutの相関だけで原因確定せず、SQL計画とblockingの証拠も確認する。</t>
  </si>
  <si>
    <t>S34 / 監視設計</t>
  </si>
  <si>
    <t>prepared滞留SLO</t>
  </si>
  <si>
    <t>返事待ちの準備済み仕事が長く続いたら知らせます。</t>
  </si>
  <si>
    <t>XA RECOVERの定期観測で、Xidごとの初回検知時刻と消失時刻を保存する。JTA設定値60秒を、そのままprepared安全解除の閾値には使わない。復旧SLOは障害・再接続・周期を踏まえる。</t>
  </si>
  <si>
    <t>検知閾値と手動介入閾値を分け、commit決定ログを確認する運用を定める。</t>
  </si>
  <si>
    <t>S25 S26 S27 / 監視設計</t>
  </si>
  <si>
    <t>復旧成功の証拠</t>
  </si>
  <si>
    <t>帳面がそろい、鍵と席が戻り、同じ注文が二回できていないか確かめます。</t>
  </si>
  <si>
    <t>最終TM結果、prepared branchの解決、各RMの業務整合性、lock解放、pool返却、二重処理の有無を合わせて確認する。警告ログが減っただけでは復旧成功とはしない。</t>
  </si>
  <si>
    <t>障害注入試験でもこれを合格条件にする。19に正常・失敗・復旧のチェック項目を載せる。</t>
  </si>
  <si>
    <t>S03 S25 S26 / 運用方針</t>
  </si>
  <si>
    <t>試験する条件・観察</t>
  </si>
  <si>
    <t>期待する観察・合格条件／未実施</t>
  </si>
  <si>
    <t>T01：構成を固定</t>
  </si>
  <si>
    <t>試験した道具の型番を記録します。</t>
  </si>
  <si>
    <t>EAP update、Narayana/IronJacamarのJAR、JVM、Connector/J9.7.0、XADataSource class、Aurora8.4.7、ACU、ORM、4値とdriver propertiesを記録する。</t>
  </si>
  <si>
    <t>期待：同じ構成で再試験可能。公開代表ソースと差がある場合は実効値・状態遷移の期待を更新。実施状況：未実施。</t>
  </si>
  <si>
    <t>T02：実2PCの観測</t>
  </si>
  <si>
    <t>二人の係が準備と確定を実際に受けるかを見ます。</t>
  </si>
  <si>
    <t>異なる2XA RMを参加させ、正常業務を実行。prepare/commit(false)呼出しとXid、段階別時刻を観測する。read-onlyや1PC最適化も区別する。</t>
  </si>
  <si>
    <t>期待：業務に必要な全参加者が同じ結果。統計と記録で2PC確認。Aurora SQLを2本実行しただけの1RM試験と区別。未実施。</t>
  </si>
  <si>
    <t>T03：JTA外の長いSQL</t>
  </si>
  <si>
    <t>全体時計がない場所で、一問の既定を確かめます。</t>
  </si>
  <si>
    <t>JTAなし、Q10、Pなし、trueで十分長いSELECT（検証DBのみ）を実行し、取消・例外・DB終了時刻を測る。</t>
  </si>
  <si>
    <t>期待：fixed Qのfallbackが利用される。10秒で絶対復帰する保証ではない。壊れた接続や残留処理も確認。未実施。</t>
  </si>
  <si>
    <t>S05 S11 S16</t>
  </si>
  <si>
    <t>T04：true＋Qのみ</t>
  </si>
  <si>
    <t>連動が固定10秒より残り時間を使うことを確かめます。</t>
  </si>
  <si>
    <t>JTA60、SQL開始R≈50、Q10、Pなし、true。新しいStatementで長いSQLを実行。TM残りとdriver timeoutを計測する。</t>
  </si>
  <si>
    <t>期待：代表実装なら約50秒の設定となり、固定10秒はminに入らない。挙動が異なれば実機patch/providerを調査。未実施。</t>
  </si>
  <si>
    <t>T05：true＋個別P</t>
  </si>
  <si>
    <t>個別10秒と残り50秒の小さい方が使われるかを見ます。</t>
  </si>
  <si>
    <t>T04と同じ条件でP=10を明示。SQL取消、例外、JTA状態、rollbackを観測。さらにR≈4でも比較する。</t>
  </si>
  <si>
    <t>期待：R50では10、R4ではR相当の設定。単位丸めと取消遅れを測定。全体rollback・lock解放まで確認。未実施。</t>
  </si>
  <si>
    <t>S05 S06 S11</t>
  </si>
  <si>
    <t>T06：falseの期限直前</t>
  </si>
  <si>
    <t>全体残り2秒で一問10秒を始める競合を観察します。</t>
  </si>
  <si>
    <t>JTA60、t≈58、false、Q/P10で長いSQL。Reaperの警告、SQLthread、rollbackthread、接続の排他を記録。</t>
  </si>
  <si>
    <t>期待：自動のR短縮はなく、JTAとSQLが競合し得る。実際の終了時間を測り、reserve判定導入後には新SQLが開始されないことを確認。未実施。</t>
  </si>
  <si>
    <t>S05 S19 S21</t>
  </si>
  <si>
    <t>T07：0・1秒未満</t>
  </si>
  <si>
    <t>時計の0と小さな残りを別々に試します。</t>
  </si>
  <si>
    <t>trueでTM残りが正の1秒未満/0/期限切れのケースを作る。falseでQ0/Pなしも別に観察。生成Statementと例外を記録。</t>
  </si>
  <si>
    <t>期待：代表WrapperDataSourceは正の端数を切り上げ、残り0は拒否。上流の推定粒度やtransaction状態で実際の分岐は異なる。未実施。</t>
  </si>
  <si>
    <t>T08：Statement再利用</t>
  </si>
  <si>
    <t>前の短い時間が次の問題へ残るか調べます。</t>
  </si>
  <si>
    <t>同じStatementで複数execute、close後のcache再利用、transaction境界をまたぐ不適切な保持を比較。毎回Pを設定する方式も試す。</t>
  </si>
  <si>
    <t>期待：実効timeoutとresetの挙動が記録され、アプリが意図しない短縮・期限なしを起こさない。未実施。</t>
  </si>
  <si>
    <t>T09：行ロック待ち</t>
  </si>
  <si>
    <t>鍵を保持する係と待つ係を作ります。</t>
  </si>
  <si>
    <t>検証用の二つのtransactionで同じ行を更新し、一方にlockを保持。L5、P10、R十分でwaiterの1205とJTA rollbackを観察する。</t>
  </si>
  <si>
    <t>期待：待ち期限が先に働くケースを確認。前の更新を含む全体rollback、blockerとwaiterのlockの違いを検証。未実施。</t>
  </si>
  <si>
    <t>T10：deadlock</t>
  </si>
  <si>
    <t>二人がお互いの鍵を待つ状況を作ります。</t>
  </si>
  <si>
    <t>二つの検証transactionで逆順に二行を更新し、循環待ちを作る。deadlock detectの現設定を記録して、1213/XA mappingとrollbackを観察。</t>
  </si>
  <si>
    <t>期待：単なるL超過と区別でき、新transactionの再試行で整合性を保つ。無限再試行しない。未実施。</t>
  </si>
  <si>
    <t>T11：SQL外の待機</t>
  </si>
  <si>
    <t>一問が短くても全体時間切れになることを確かめます。</t>
  </si>
  <si>
    <t>SQL後にtransaction内で長い待機を発生させ、JTA期限を超える。SQL timeoutの有無と独立に、JTA状態・例外・rollbackを観察。</t>
  </si>
  <si>
    <t>期待：全体時計の必要性を確認。業務threadがその瞬間に強制停止されることを合格条件にしない。未実施。</t>
  </si>
  <si>
    <t>S18 S19 S22</t>
  </si>
  <si>
    <t>T12：prepare応答を遅延</t>
  </si>
  <si>
    <t>確定の第一相談が期限をまたぐ場合を試します。</t>
  </si>
  <si>
    <t>検証用XAResource/ネットワーク制御等でprepare応答を遅らせ、t≈55からJTA60を超える。状態、Reaper、排他、socket、最終結果を記録。</t>
  </si>
  <si>
    <t>期待：JTAのみで強制終了を保証しない挙動を確認。2PC整合性とrecoveryが保たれる。実DB本番に故障を注入しない。未実施。</t>
  </si>
  <si>
    <t>T13：commit応答消失</t>
  </si>
  <si>
    <t>相手が確定した後、返事だけ消える場合を試します。</t>
  </si>
  <si>
    <t>commit決定後、RM側commit完了とTMへの応答の間で障害を模擬。TMの結果不明、preparedの残り、再起動後recovery、業務照会を確認。</t>
  </si>
  <si>
    <t>期待：未反映と断定せず、全参加者が同じ最終結果。取引の重複なし。未実施。</t>
  </si>
  <si>
    <t>S21 S25 S27</t>
  </si>
  <si>
    <t>T14：取消通信も障害</t>
  </si>
  <si>
    <t>中止の電話が失敗した場合を試します。</t>
  </si>
  <si>
    <t>SQL実行中にnetwork blackhole等を検証環境で模擬し、P10の取消接続と元socket30秒の待ちを観察。接続破棄、JTA/recoveryも確認。</t>
  </si>
  <si>
    <t>期待：SQL10秒をhard return deadlineにしない実測。poolへ壊れた接続を戻さず、未解決XAを適切に回復。未実施。</t>
  </si>
  <si>
    <t>S11 S13 S25</t>
  </si>
  <si>
    <t>T15：preparedでEAP再起動</t>
  </si>
  <si>
    <t>帳面を残し、先生が交代しても同じ決定へそろうかを試します。</t>
  </si>
  <si>
    <t>prepare後の適切な故障点で検証用EAPを停止し、同じ永続object store・node・recovery構成で再起動。XA RECOVERと各RM結果を観察。</t>
  </si>
  <si>
    <t>期待：ログを失わず未解決branchを解決し、lockとpoolを解放する。recovery権限不足の異常系も別途確認。未実施。</t>
  </si>
  <si>
    <t>S01 S03 S25 S27 S40</t>
  </si>
  <si>
    <t>T16：Serverless条件</t>
  </si>
  <si>
    <t>混雑・少ない人数・寝起きでも時計を試します。</t>
  </si>
  <si>
    <t>最低ACU、高負荷、上限到達、writer切替、利用するなら0ACU復帰の条件でSQL/prepare/commit/接続の分布を記録。</t>
  </si>
  <si>
    <t>期待：候補値の正常系誤timeout率と失敗時の資源滞留を評価し、ACU/SLAに応じて値を確定。未実施。</t>
  </si>
  <si>
    <t>T17：ORM・バッチ・fetch</t>
  </si>
  <si>
    <t>別の用紙の作り方でも、同じ意図の時間が設定されるか見ます。</t>
  </si>
  <si>
    <t>利用中ORMのQuery/flush/lazy fetch、executeBatch、server/client prepared、cursor/streamingを含める。個別Pの単位・実効値・取消範囲を記録。</t>
  </si>
  <si>
    <t>期待：全SQL経路で意図した期限を適用し、結果読み取りとbatchの範囲を説明できる。未実施。</t>
  </si>
  <si>
    <t>S12 S16 S20</t>
  </si>
  <si>
    <t>T18：採用の合格条件</t>
  </si>
  <si>
    <t>数字だけでなく、帳面・鍵・席・画面がそろったかを確認します。</t>
  </si>
  <si>
    <t>正常系SLA、失敗率、取消後の全体rollback、lock解放、pool健全、prepared解決、復旧SLO、結果照会、冪等性を満たすこと。該当しないケースは理由を記録して除外する。</t>
  </si>
  <si>
    <t>タイマー設定値と同じ時刻に全処理が終了することを一律合格条件にしない。観測と保証できる範囲を明記。全ケース未実施。</t>
  </si>
  <si>
    <t>検証計画</t>
  </si>
  <si>
    <t>2PCならJTA timeoutは不要？</t>
  </si>
  <si>
    <t>必要です。最後の二回確認と、仕事全体の時間管理は別です。</t>
  </si>
  <si>
    <t>SQL外の待ち、複数SQL、資源滞留を制限するJTA期限は必要。2PCは全参加者の確定結果をそろえる方式で、業務時間を自動的に短くする機能ではない。</t>
  </si>
  <si>
    <t>ただしJTAを2PC通信・recoveryの厳密な完了上限として使わない。10を参照。</t>
  </si>
  <si>
    <t>JTA60なら60秒で全部戻る？</t>
  </si>
  <si>
    <t>ベルと片付けの完了は別です。</t>
  </si>
  <si>
    <t>Reaperの検知、cancel、driver取消、rollback、DB undo、lock解放、pool返却に時間差がある。prepare/commitの状態では別の制約もある。</t>
  </si>
  <si>
    <t>各時刻を別々に測る。期限設定を資源解放の保証と報告しない。</t>
  </si>
  <si>
    <t>S11 S19 S20 S21</t>
  </si>
  <si>
    <t>XA60でDBが自動取消する？</t>
  </si>
  <si>
    <t>今回の係は、その時計の設定を受け付けません。</t>
  </si>
  <si>
    <t>Connector/J9.7.0のsetterはfalseなので、EAPのXA値を60にしてもRMのXA期限は設定されない。JTA側Reaperの時計は別に存在する。</t>
  </si>
  <si>
    <t>本環境のXA値は0/未指定候補。06を参照。</t>
  </si>
  <si>
    <t>S10 S17</t>
  </si>
  <si>
    <t>Q10＋trueなら必ず10？</t>
  </si>
  <si>
    <t>残り50秒の時計が優先される場合があります。</t>
  </si>
  <si>
    <t>代表実装はJTA残りRがあるとQとのminを取らない。正の個別P10を明示すればmin(R,P10)へ制限される。</t>
  </si>
  <si>
    <t>08/09を確認。ORMでも個別値が実際にJDBCへ渡った証拠を取る。</t>
  </si>
  <si>
    <t>query=0でJTAも無制限？</t>
  </si>
  <si>
    <t>一問時計を外しても、全体時計は残ります。</t>
  </si>
  <si>
    <t>JDBC0はSQL期限なしの契約。JTAは独立。さらにset-tx=trueなら残り時間からSQL期限が再設定されることがある。</t>
  </si>
  <si>
    <t>4設定の0を同じ意味にしない。03を参照。</t>
  </si>
  <si>
    <t>S05 S16 S18</t>
  </si>
  <si>
    <t>JTA APIの0は何？</t>
  </si>
  <si>
    <t>いつもの時間へ戻す指定です。</t>
  </si>
  <si>
    <t>UserTransaction.setTransactionTimeout(0)は実装既定復帰。EAPのdefault-timeout=0とmaximum-timeoutの話とは層が違う。</t>
  </si>
  <si>
    <t>BMTのbegin前設定・finally復帰で使う。03/05を参照。</t>
  </si>
  <si>
    <t>query timeoutでXA commitも止まる？</t>
  </si>
  <si>
    <t>一問時計と確定の電話は別です。</t>
  </si>
  <si>
    <t>Connector/Jの内部XA Statementに通常EAPのquery/set-tx設定が自動適用される構造ではない。xa-resource-timeoutも呼出し1回の通信期限ではない。</t>
  </si>
  <si>
    <t>物理接続socket設定と2PC障害試験を確認。06/10を参照。</t>
  </si>
  <si>
    <t>socket30なら2PC全体30？</t>
  </si>
  <si>
    <t>一回の返事待ちと、すべての電話を足した時間は別です。</t>
  </si>
  <si>
    <t>socket timeoutはネットワーク操作待ち。複数RM、複数XA呼出し、ログ、callback、再送、recoveryの総時間を30秒にするものではない。</t>
  </si>
  <si>
    <t>総時間の予算と結果不明の扱いを別に設計する。</t>
  </si>
  <si>
    <t>S13 S21 S25</t>
  </si>
  <si>
    <t>1205なら全体rollback済み？</t>
  </si>
  <si>
    <t>待っていた一問だけが戻った場合があります。</t>
  </si>
  <si>
    <t>MySQL標準はlock wait超過で現在statementをrollbackするのが原則。JTAの全体rollbackや関連する設定・XA状態は別に確認する。</t>
  </si>
  <si>
    <t>必須更新失敗後は全体rollback方針。DBの業務状態・lock解放を検証。</t>
  </si>
  <si>
    <t>lock wait短縮で保持元も止まる？</t>
  </si>
  <si>
    <t>待つ子が帰るだけで、鍵を持つ子は残ることがあります。</t>
  </si>
  <si>
    <t>innodb_lock_wait_timeoutはwaiter側の行ロック待ち。blockerの長いtransaction、prepared branch、未解放lockを強制終了する変数ではない。</t>
  </si>
  <si>
    <t>blockerの境界と復旧を調べる。12/18を参照。</t>
  </si>
  <si>
    <t>commit timeout後は再試行してよい？</t>
  </si>
  <si>
    <t>すでに買ったかもしれないので、番号で確かめます。</t>
  </si>
  <si>
    <t>commit要求到達後に応答だけ失うと結果不明。新しい業務として即再試行すると二重反映の恐れがある。</t>
  </si>
  <si>
    <t>TM recoveryと冪等キーによる結果照会を使う。</t>
  </si>
  <si>
    <t>S25 / 設計判断</t>
  </si>
  <si>
    <t>EAPを止めればpreparedは消える？</t>
  </si>
  <si>
    <t>準備済みの帳面は、先生がいなくても残ります。</t>
  </si>
  <si>
    <t>prepared XAはRMに永続化される。MySQL8.4ではdetachedもあり、元接続のcloseは安全な終了保証ではない。</t>
  </si>
  <si>
    <t>同じTMログからrecoveryする。手動で一律rollbackしない。</t>
  </si>
  <si>
    <t>Serverlessのresume timeout？</t>
  </si>
  <si>
    <t>眠った部屋を起こす時間と、各係の仕事の時計は違います。</t>
  </si>
  <si>
    <t>今回の名称は利用者確認済みのxa-resource-timeout。Serverless v2の自動停止/再開は接続・容量の別機能。</t>
  </si>
  <si>
    <t>0 ACU利用時はconnect/SLAを別測定。</t>
  </si>
  <si>
    <t>S01 S33</t>
  </si>
  <si>
    <t>Aurora内部のcommitとXA 2PC</t>
  </si>
  <si>
    <t>台帳の内部の保存方法と、別の係と相談する方法は別の階層です。</t>
  </si>
  <si>
    <t>Auroraの内部ストレージへのcommit処理と、Narayanaが複数RMを参加させるアプリ側XA 2PCは同一ではない。Auroraに内部の耐久性機構があるためJTAが不要、とはならない。</t>
  </si>
  <si>
    <t>アプリのtransaction境界・XA参加者・RMの復旧を整理する。</t>
  </si>
  <si>
    <t>S25 S26</t>
  </si>
  <si>
    <t>JTA・TM・RM</t>
  </si>
  <si>
    <t>JTAは頼み方、TMは先生、RMは各係です。</t>
  </si>
  <si>
    <t>JTA：Jakarta Transactions API。TM：Transaction Manager、EAPではNarayana。RM：Resource Manager、DB/JMS等。XAResource：TMとRMをつなぐ標準API。</t>
  </si>
  <si>
    <t>標準、実装、DB機能を分けて読む。</t>
  </si>
  <si>
    <t>S02 S17 S18</t>
  </si>
  <si>
    <t>commit・rollback</t>
  </si>
  <si>
    <t>成功として帳面を確定するか、セットの変更を戻すかです。</t>
  </si>
  <si>
    <t>commitは最終確定、rollbackは未確定の変更の取り消し。個々のstatement rollbackとglobal transaction rollbackを区別する。</t>
  </si>
  <si>
    <t>例外が出たことだけでどの範囲が戻ったか断定しない。</t>
  </si>
  <si>
    <t>S18 S25 S30</t>
  </si>
  <si>
    <t>prepare・in-doubt</t>
  </si>
  <si>
    <t>準備はできたが、最終指示がまだ分からない状態です。</t>
  </si>
  <si>
    <t>prepareは最終決定へ従える状態を永続化する第一段階。in-doubtはRMがcommit/rollbackの最終決定をまだ解決できない状態を説明する語。</t>
  </si>
  <si>
    <t>XA RECOVER、TMログ、recoveryを照合する。</t>
  </si>
  <si>
    <t>heuristic</t>
  </si>
  <si>
    <t>先生の決定と違うことを係が例外的にしてしまい、帳面がそろわない場合です。</t>
  </si>
  <si>
    <t>RMが通常の協調結果と異なる決定をする等の例外的終了。mixed/hazard等は整合性や結果不明の重大な状態として別に扱う。単なるSQL timeoutと同義ではない。</t>
  </si>
  <si>
    <t>ログを保全し、全RMの業務状態を確認。期限設定だけで解決したとしない。</t>
  </si>
  <si>
    <t>Xid・UID・connection id</t>
  </si>
  <si>
    <t>買い物番号、先生の管理番号、電話番号を結びます。</t>
  </si>
  <si>
    <t>XidはXA branchを識別する情報。UIDはNarayana側の識別に使われる。DB connection idはSQL実行セッションの識別に使う。同じ文字列ではないので相関情報が必要。</t>
  </si>
  <si>
    <t>取引IDも加えてログ/DB観測を関連づける。</t>
  </si>
  <si>
    <t>S10 S23 S27</t>
  </si>
  <si>
    <t>Reaper・Recovery Manager</t>
  </si>
  <si>
    <t>見回り係と、帳面を直す復旧係です。</t>
  </si>
  <si>
    <t>Reaperは活動transactionの期限監視。Recovery Managerは障害後の未解決transactionをログ/RMから回復する。後者の総時間はJTA活動期限では制限されない。</t>
  </si>
  <si>
    <t>通常SLAと復旧SLOを分ける。</t>
  </si>
  <si>
    <t>deadline・timeout</t>
  </si>
  <si>
    <t>終わりの時刻と、待ってよい長さです。</t>
  </si>
  <si>
    <t>deadlineは絶対の締切時刻、timeoutは開始点からの許容時間。開始点が違う二つのtimeout値を比較するときは時刻へ変換する。</t>
  </si>
  <si>
    <t>JTA=begin+T、SQL=execute開始+q_effで比べる。</t>
  </si>
  <si>
    <t>設計モデル</t>
  </si>
  <si>
    <t>p99・SLA・SLO</t>
  </si>
  <si>
    <t>100回中ほぼ99回の時間と、守りたい約束です。</t>
  </si>
  <si>
    <t>p99は測定分布の99パーセンタイル。SLAは利用者等へのサービス条件、SLOは運用上の目標。平均や一回の正常結果だけでは長い裾や復旧目標を説明できない。</t>
  </si>
  <si>
    <t>業務応答とprepared解決の目標を別に定義する。</t>
  </si>
  <si>
    <t>設計・測定用語</t>
  </si>
  <si>
    <t>このExcelで確認したこと</t>
  </si>
  <si>
    <t>説明書と型番のソースを調べ、表・時計の計算・文字の配置を確認しました。</t>
  </si>
  <si>
    <t>一次資料の調査、公開固定タグとの照合、XLSX構造、Meiryo UI指定、折返し、行高、リンク、計算式と保存済み計算結果を検証する。実EAP/Auroraの動作確認は含まない。</t>
  </si>
  <si>
    <t>21に出典と適用限界。19は今後の実機試験計画で、合格済み一覧ではない。</t>
  </si>
  <si>
    <t>出典・確認日・適用範囲</t>
  </si>
  <si>
    <t>42件の一次資料。設定値の設計例・代表実装・実機未確認を明確に区別する。</t>
  </si>
  <si>
    <t>ID</t>
  </si>
  <si>
    <t>公開主体</t>
  </si>
  <si>
    <t>資料・固定版</t>
  </si>
  <si>
    <t>公式リンク（クリック）</t>
  </si>
  <si>
    <t>裏付ける内容</t>
  </si>
  <si>
    <t>適用範囲と限界</t>
  </si>
  <si>
    <t>Red Hat</t>
  </si>
  <si>
    <t>EAP 8.1 Configuration Guide — Reference Material</t>
  </si>
  <si>
    <t>https://docs.redhat.com/en/documentation/red_hat_jboss_enterprise_application_platform/8.1/html/configuration_guide/reference_material</t>
  </si>
  <si>
    <t>4設定の意味、JTA既定300秒、maximum-timeoutの扱い。</t>
  </si>
  <si>
    <t>確認日：2026-10-09
EAP 8.1公式仕様。設定値例60秒等は本資料独自の設計例。</t>
  </si>
  <si>
    <t>S02</t>
  </si>
  <si>
    <t>EAP 8.1 — Configuring the transactions subsystem</t>
  </si>
  <si>
    <t>https://docs.redhat.com/en/documentation/red_hat_jboss_enterprise_application_platform/8.1/html/configuration_guide/configuring_the_transactions_subsystem</t>
  </si>
  <si>
    <t>EAPがNarayanaを使用すること、TM設定。</t>
  </si>
  <si>
    <t>確認日：2026-10-09
8.1の章から7.4のTransactions Guideへ案内される箇所がある。古い版の一般説明を8.1実装保証と混同しない。</t>
  </si>
  <si>
    <t>S03</t>
  </si>
  <si>
    <t>EAP 8.1 — Datasource management</t>
  </si>
  <si>
    <t>https://docs.redhat.com/en/documentation/red_hat_jboss_enterprise_application_platform/8.1/html/configuration_guide/datasource_management</t>
  </si>
  <si>
    <t>XA datasource、リカバリー設定、XA統計、ドライバー登録。</t>
  </si>
  <si>
    <t>確認日：2026-10-09
Aurora＋Connector/J 9.7.0の組合せを認証済みと保証する資料ではない。</t>
  </si>
  <si>
    <t>S04</t>
  </si>
  <si>
    <t>Red Hat Maven</t>
  </si>
  <si>
    <t>jboss-eap-parent 8.1.1.GA-redhat-00009 POM</t>
  </si>
  <si>
    <t>https://maven.repository.redhat.com/ga/org/jboss/eap/jboss-eap-parent/8.1.1.GA-redhat-00009/jboss-eap-parent-8.1.1.GA-redhat-00009.pom</t>
  </si>
  <si>
    <t>version.org.jboss.ironjacamar=3.0.10.Final、version.org.jboss.narayana=7.1.2.Final-redhat-00001を取得確認。</t>
  </si>
  <si>
    <t>確認日：2026-10-09
urllibで取得・XML解析。EAP 8.1.1の公開ビルドの代表例。利用者のパッチ版や実機JARは未確認。</t>
  </si>
  <si>
    <t>IronJacamar公式GitHub</t>
  </si>
  <si>
    <t>3.0.10.Final — WrappedConnection.java</t>
  </si>
  <si>
    <t>https://github.com/ironjacamar/ironjacamar/blob/3.0.10.Final/adapters/src/main/java/org/jboss/jca/adapters/jdbc/WrappedConnection.java#L2103</t>
  </si>
  <si>
    <t>checkConfiguredQueryTimeoutの優先順位。正の残り時間があると固定query-timeoutを参照しない。</t>
  </si>
  <si>
    <t>確認日：2026-10-09
公開タグを固定。実機のパッチで同じ分岐であることは検証計画で確認する。</t>
  </si>
  <si>
    <t>S06</t>
  </si>
  <si>
    <t>3.0.10.Final — WrapperDataSource.java</t>
  </si>
  <si>
    <t>https://github.com/ironjacamar/ironjacamar/blob/3.0.10.Final/adapters/src/main/java/org/jboss/jca/adapters/jdbc/WrapperDataSource.java#L220</t>
  </si>
  <si>
    <t>残りミリ秒を秒に切り上げ、残り0ではSQLTimeoutException。</t>
  </si>
  <si>
    <t>確認日：2026-10-09
下位TMからの推定時間を使う。古い版の1秒未満の問題を現在の全版へ一般化しない。</t>
  </si>
  <si>
    <t>S07</t>
  </si>
  <si>
    <t>3.0.10.Final — WrappedStatement.java</t>
  </si>
  <si>
    <t>https://github.com/ironjacamar/ironjacamar/blob/3.0.10.Final/adapters/src/main/java/org/jboss/jca/adapters/jdbc/WrappedStatement.java#L1454</t>
  </si>
  <si>
    <t>SQL実行前のチェック、setQueryTimeoutとtimeoutSet、再利用時の状態。</t>
  </si>
  <si>
    <t>確認日：2026-10-09
新しいStatementの早見表と、同じStatementを再利用する場合を区別。</t>
  </si>
  <si>
    <t>3.0.10.Final — TxConnectionManagerImpl.java</t>
  </si>
  <si>
    <t>https://github.com/ironjacamar/ironjacamar/blob/3.0.10.Final/core/impl/src/main/java/org/jboss/jca/core/connectionmanager/tx/TxConnectionManagerImpl.java#L730</t>
  </si>
  <si>
    <t>XA timeout指定のsetterとfalse時の扱い、残り時間取得。</t>
  </si>
  <si>
    <t>確認日：2026-10-09
設定値を保持できてもRMが対応しているとは限らない。</t>
  </si>
  <si>
    <t>S09</t>
  </si>
  <si>
    <t>3.0.10.Final — BaseWrapperManagedConnectionFactory.java</t>
  </si>
  <si>
    <t>https://github.com/ironjacamar/ironjacamar/blob/3.0.10.Final/adapters/src/main/java/org/jboss/jca/adapters/jdbc/BaseWrapperManagedConnectionFactory.java#L221</t>
  </si>
  <si>
    <t>transactionQueryTimeout=false、queryTimeout=0の初期値。</t>
  </si>
  <si>
    <t>確認日：2026-10-09
管理モデルではquery-timeoutがundefinedでも、アダプター既定は0。</t>
  </si>
  <si>
    <t>MySQL公式GitHub</t>
  </si>
  <si>
    <t>Connector/J 9.7.0 — MysqlXAConnection.java</t>
  </si>
  <si>
    <t>https://github.com/mysql/mysql-connector-j/blob/9.7.0/src/main/user-impl/java/com/mysql/cj/jdbc/MysqlXAConnection.java#L108</t>
  </si>
  <si>
    <t>setTransactionTimeout=false、getTransactionTimeout=0、XAコマンドは内部の物理接続Statementで送る。</t>
  </si>
  <si>
    <t>確認日：2026-10-09
9.7.0固定で取得。通常のMysqlXADataSourceによる接続を前提。独自ラッパーは別途確認。</t>
  </si>
  <si>
    <t>S11</t>
  </si>
  <si>
    <t>Connector/J 9.7.0 — CancelQueryTaskImpl.java</t>
  </si>
  <si>
    <t>https://github.com/mysql/mysql-connector-j/blob/9.7.0/src/main/core-impl/java/com/mysql/cj/CancelQueryTaskImpl.java</t>
  </si>
  <si>
    <t>タイマー後の別スレッド、別セッションの接続、KILL QUERY送信。</t>
  </si>
  <si>
    <t>確認日：2026-10-09
取消通信が必要なため設定秒数どおりの停止・復帰を保証しない。</t>
  </si>
  <si>
    <t>S12</t>
  </si>
  <si>
    <t>Connector/J 9.7.0 — StatementImpl.java</t>
  </si>
  <si>
    <t>https://github.com/mysql/mysql-connector-j/blob/9.7.0/src/main/user-impl/java/com/mysql/cj/jdbc/StatementImpl.java</t>
  </si>
  <si>
    <t>クエリタイマー開始・停止、executeBatch等の実装。</t>
  </si>
  <si>
    <t>確認日：2026-10-09
Statement/PreparedStatement/バッチ/ストリーミングは個別の検証対象。</t>
  </si>
  <si>
    <t>S13</t>
  </si>
  <si>
    <t>MySQL</t>
  </si>
  <si>
    <t>Connector/J — Networking properties</t>
  </si>
  <si>
    <t>https://dev.mysql.com/doc/connector-j/en/connector-j-connp-props-networking.html</t>
  </si>
  <si>
    <t>connectTimeout、socketTimeout、いずれもミリ秒、既定0。</t>
  </si>
  <si>
    <t>確認日：2026-10-09
オンライン説明は更新される。9.7.0のコードも照合して利用する。</t>
  </si>
  <si>
    <t>S14</t>
  </si>
  <si>
    <t>Connector/J — Statements properties</t>
  </si>
  <si>
    <t>https://dev.mysql.com/doc/connector-j/en/connector-j-connp-props-statements.html</t>
  </si>
  <si>
    <t>queryTimeoutKillsConnectionの意味、既定false、5.1.9からの存在。</t>
  </si>
  <si>
    <t>確認日：2026-10-09
trueをXA後処理の代用にしない。</t>
  </si>
  <si>
    <t>S15</t>
  </si>
  <si>
    <t>Connector/J — Performance Extensions</t>
  </si>
  <si>
    <t>https://dev.mysql.com/doc/connector-j/en/connector-j-connp-props-performance-extensions.html</t>
  </si>
  <si>
    <t>enableQueryTimeoutsの意味、既定true、5.0.6からの存在。</t>
  </si>
  <si>
    <t>確認日：2026-10-09
無効化するとStatement timeoutのタイマーが働かない。</t>
  </si>
  <si>
    <t>Oracle Java SE</t>
  </si>
  <si>
    <t>Java SE 21 — Statement</t>
  </si>
  <si>
    <t>https://docs.oracle.com/en/java/javase/21/docs/api/java.sql/java/sql/Statement.html#setQueryTimeout(int)</t>
  </si>
  <si>
    <t>秒単位、0は無制限、キャンセル試行、ResultSet/バッチの実装差。</t>
  </si>
  <si>
    <t>確認日：2026-10-09
Java標準契約の根拠。実際の挙動はConnector/Jで検証する。</t>
  </si>
  <si>
    <t>Java SE 21 — XAResource</t>
  </si>
  <si>
    <t>https://docs.oracle.com/en/java/javase/21/docs/api/java.transaction.xa/javax/transaction/xa/XAResource.html#setTransactionTimeout(int)</t>
  </si>
  <si>
    <t>XA timeoutの秒単位、0でRM既定へ戻す、非対応はfalse。</t>
  </si>
  <si>
    <t>確認日：2026-10-09
Java SEのXA型はjavax.transaction.xa。EAP 8でもjakarta.transaction.xaへ変更しない。</t>
  </si>
  <si>
    <t>Jakarta EE</t>
  </si>
  <si>
    <t>Jakarta Transactions 2.0 Specification</t>
  </si>
  <si>
    <t>https://jakarta.ee/specifications/transactions/2.0/jakarta-transactions-spec-2.0.html</t>
  </si>
  <si>
    <t>JTAの役割、UserTransactionのtimeoutと0の意味、リソース登録。</t>
  </si>
  <si>
    <t>確認日：2026-10-09
2020-10-08版。JTAはAPI標準で、Narayanaはその実装。</t>
  </si>
  <si>
    <t>Narayana公式GitHub</t>
  </si>
  <si>
    <t>7.1.2.Final — TransactionReaper.java</t>
  </si>
  <si>
    <t>https://github.com/jbosstm/narayana/blob/7.1.2.Final/ArjunaCore/arjuna/classes/com/arjuna/ats/arjuna/coordinator/TransactionReaper.java#L394</t>
  </si>
  <si>
    <t>期限切れの検知、running条件のcancel、cancel/rollback-onlyへの対応。</t>
  </si>
  <si>
    <t>確認日：2026-10-09
代表公開版。Red Hat固有パッチと実機版は未照合。</t>
  </si>
  <si>
    <t>S20</t>
  </si>
  <si>
    <t>7.1.2.Final — TwoPhaseCoordinator.java</t>
  </si>
  <si>
    <t>https://github.com/jbosstm/narayana/blob/7.1.2.Final/ArjunaCore/arjuna/classes/com/arjuna/ats/arjuna/coordinator/TwoPhaseCoordinator.java#L253</t>
  </si>
  <si>
    <t>runningはRUNNING/ABORT_ONLY、beforeCompletion→End→afterCompletion。</t>
  </si>
  <si>
    <t>確認日：2026-10-09
PREPARING/PREPARED/COMMITTINGをrunning条件に含めない。</t>
  </si>
  <si>
    <t>S21</t>
  </si>
  <si>
    <t>7.1.2.Final — BasicAction.java</t>
  </si>
  <si>
    <t>https://github.com/jbosstm/narayana/blob/7.1.2.Final/ArjunaCore/arjuna/classes/com/arjuna/ats/arjuna/coordinator/BasicAction.java</t>
  </si>
  <si>
    <t>End/Abortの排他、prepare/phase2Commitの状態遷移、1PC最適化。</t>
  </si>
  <si>
    <t>確認日：2026-10-09
タイムアウトと完了処理が競合した場合の実装上の制約を説明。</t>
  </si>
  <si>
    <t>S22</t>
  </si>
  <si>
    <t>7.1.2.Final — AtomicAction.java</t>
  </si>
  <si>
    <t>https://github.com/jbosstm/narayana/blob/7.1.2.Final/ArjunaCore/arjuna/classes/com/arjuna/ats/arjuna/AtomicAction.java</t>
  </si>
  <si>
    <t>beginでReaper登録、commit/end完了後に登録を外す、suspend/resume。</t>
  </si>
  <si>
    <t>確認日：2026-10-09
commit開始直後に必ずReaperから外すという説明は採用しない。</t>
  </si>
  <si>
    <t>S23</t>
  </si>
  <si>
    <t>7.1.2.Final — TransactionImple.java</t>
  </si>
  <si>
    <t>https://github.com/jbosstm/narayana/blob/7.1.2.Final/ArjunaJTA/jta/classes/com/arjuna/ats/internal/jta/transaction/arjunacore/TransactionImple.java</t>
  </si>
  <si>
    <t>enlist時のXA timeout伝播、commit結果・例外。</t>
  </si>
  <si>
    <t>確認日：2026-10-09
JTA timeoutのDB側伝播とReaperによるTM側期限管理は別の機構。</t>
  </si>
  <si>
    <t>S24</t>
  </si>
  <si>
    <t>Narayana</t>
  </si>
  <si>
    <t>Narayana Project Guide</t>
  </si>
  <si>
    <t>https://www.narayana.io/docs/project/index.html</t>
  </si>
  <si>
    <t>Reaper、JTA/JDBC、recovery、object storeの設計背景。</t>
  </si>
  <si>
    <t>確認日：2026-10-09
コミュニティ版全体の説明。製品のサポート範囲と区別。</t>
  </si>
  <si>
    <t>Narayana Product Guide</t>
  </si>
  <si>
    <t>https://www.narayana.io/docs/product/index.html</t>
  </si>
  <si>
    <t>2PC、blocking、1PC、heuristic、障害復旧。</t>
  </si>
  <si>
    <t>確認日：2026-10-09
概念と復旧の根拠。実機の具体的時間上限ではない。</t>
  </si>
  <si>
    <t>AWS</t>
  </si>
  <si>
    <t>Recommendations for MySQL features in Aurora MySQL</t>
  </si>
  <si>
    <t>https://docs.aws.amazon.com/AmazonRDS/latest/AuroraUserGuide/AuroraMySQL.BestPractices.FeatureRecommendations.html</t>
  </si>
  <si>
    <t>AWSはAurora MySQLでXAを避けることを推奨。必要な場合は小さくし、PREPAREDを放置しない。</t>
  </si>
  <si>
    <t>確認日：2026-10-09
XA非サポートという意味ではない。利用者が選択した2PCの運用条件として扱う。</t>
  </si>
  <si>
    <t>MySQL 8.4 — XA Transaction States</t>
  </si>
  <si>
    <t>https://dev.mysql.com/doc/refman/8.4/en/xa-states.html</t>
  </si>
  <si>
    <t>ACTIVE/IDLE/PREPARED、XA RECOVER、detached XA、XA COMMIT/ROLLBACK。</t>
  </si>
  <si>
    <t>確認日：2026-10-09
MySQL標準仕様。Auroraの実際の変数・エンジン仕様も確認する。</t>
  </si>
  <si>
    <t>S28</t>
  </si>
  <si>
    <t>MySQL 8.4 — Restrictions on XA Transactions</t>
  </si>
  <si>
    <t>https://dev.mysql.com/doc/refman/8.4/en/xa-restrictions.html</t>
  </si>
  <si>
    <t>InnoDBのXA、JOIN/RESUMEやSUSPENDの制限、XA内の制約。</t>
  </si>
  <si>
    <t>確認日：2026-10-09
resumeとresourceの名前の違いの補足。XA resource timeoutとは別。</t>
  </si>
  <si>
    <t>MySQL 8.4 — InnoDB Startup Options and System Variables</t>
  </si>
  <si>
    <t>https://dev.mysql.com/doc/refman/8.4/en/innodb-parameters.html#sysvar_innodb_lock_wait_timeout</t>
  </si>
  <si>
    <t>行ロック待ちの秒数、標準既定50、statement単位rollback、deadlockとの差。</t>
  </si>
  <si>
    <t>確認日：2026-10-09
Auroraの現在値を50と断定しない。実機のGLOBAL/SESSIONを確認する。</t>
  </si>
  <si>
    <t>S30</t>
  </si>
  <si>
    <t>MySQL 8.4 — InnoDB Error Handling</t>
  </si>
  <si>
    <t>https://dev.mysql.com/doc/refman/8.4/en/innodb-error-handling.html</t>
  </si>
  <si>
    <t>lock timeoutとdeadlockで戻す範囲の違い。</t>
  </si>
  <si>
    <t>確認日：2026-10-09
JTA側の全体rollback方針を別に定める必要がある。</t>
  </si>
  <si>
    <t>S31</t>
  </si>
  <si>
    <t>Aurora MySQL 8.4.7 release notes — 2026-05-21</t>
  </si>
  <si>
    <t>https://docs.aws.amazon.com/AmazonRDS/latest/AuroraMySQLReleaseNotes/AuroraMySQL.Updates.847.html</t>
  </si>
  <si>
    <t>Aurora MySQL 8.4.7の公開、MySQL 8.4.7互換。</t>
  </si>
  <si>
    <t>確認日：2026-10-09
現環境のバージョンは利用者申告。実DBに接続した確認ではない。</t>
  </si>
  <si>
    <t>S32</t>
  </si>
  <si>
    <t>Connector/J 9.7.0 release notes — 2026-04-22</t>
  </si>
  <si>
    <t>https://dev.mysql.com/doc/relnotes/connector-j/en/news-9-7-0.html</t>
  </si>
  <si>
    <t>利用者指定9.7.0の公式公開情報。</t>
  </si>
  <si>
    <t>確認日：2026-10-09
9.7.0を調査時点の最新リリースと呼ばない。利用中の版に固定して調査。</t>
  </si>
  <si>
    <t>S33</t>
  </si>
  <si>
    <t>Scaling to Zero ACUs with automatic pause and resume</t>
  </si>
  <si>
    <t>https://docs.aws.amazon.com/AmazonRDS/latest/AuroraUserGuide/aurora-serverless-v2-auto-pause.html</t>
  </si>
  <si>
    <t>0 ACU自動停止/再開、接続時の再開待ちという別の時間要因。</t>
  </si>
  <si>
    <t>確認日：2026-10-09
再開待ちはXA resumeの設定ではない。最小ACU0の設定有無は未確認。</t>
  </si>
  <si>
    <t>S34</t>
  </si>
  <si>
    <t>How Aurora serverless works</t>
  </si>
  <si>
    <t>https://docs.aws.amazon.com/AmazonRDS/latest/AuroraUserGuide/aurora-serverless-v2.how-it-works.html</t>
  </si>
  <si>
    <t>ACU範囲とスケーリング、可用性設計。</t>
  </si>
  <si>
    <t>確認日：2026-10-09
処理時間のp99/p99.9を計測する必要性を導く。</t>
  </si>
  <si>
    <t>S35</t>
  </si>
  <si>
    <t>The Open Group</t>
  </si>
  <si>
    <t>Standards Information Base — historical C193</t>
  </si>
  <si>
    <t>https://www.opengroup.org/view-standards-information-base-historical</t>
  </si>
  <si>
    <t>1992のC193 Distributed TP: The XA Specificationの掲載。</t>
  </si>
  <si>
    <t>確認日：2026-10-09
正確な年はこの掲載年を利用。4つのJBoss設定の初登場年を示す資料ではない。</t>
  </si>
  <si>
    <t>S36</t>
  </si>
  <si>
    <t>Jakarta Transactions 2.0 release page</t>
  </si>
  <si>
    <t>https://jakarta.ee/specifications/transactions/2.0/</t>
  </si>
  <si>
    <t>2020年のJakarta名前空間への移行。</t>
  </si>
  <si>
    <t>確認日：2026-10-09
XAResourceやJDBCはJava SE型としてjavax/java.sqlに残る。</t>
  </si>
  <si>
    <t>S37</t>
  </si>
  <si>
    <t>IronJacamar</t>
  </si>
  <si>
    <t>IronJacamar 1.0 User Guide</t>
  </si>
  <si>
    <t>https://www.ironjacamar.org/doc/userguide/1.0/en-US/html_single/index.html</t>
  </si>
  <si>
    <t>旧世代から存在するquery-timeout/set-tx-query-timeout/xa-resource-timeout。</t>
  </si>
  <si>
    <t>確認日：2026-10-09
歴史の存在確認のみ。旧版の実装をEAP 8.1の根拠に使わない。</t>
  </si>
  <si>
    <t>S38</t>
  </si>
  <si>
    <t>EAP 8 Supported Configurations</t>
  </si>
  <si>
    <t>https://access.redhat.com/articles/6961381</t>
  </si>
  <si>
    <t>製品とDB/JDBC/JVMのサポート確認の入口。</t>
  </si>
  <si>
    <t>確認日：2026-10-09
技術的に接続できることと認証・サポートされる組合せは別。</t>
  </si>
  <si>
    <t>S39</t>
  </si>
  <si>
    <t>Narayana community homepage</t>
  </si>
  <si>
    <t>https://www.narayana.io/</t>
  </si>
  <si>
    <t>公式サイトによる30年以上のtransaction処理の歴史。</t>
  </si>
  <si>
    <t>確認日：2026-10-09
名称変更の厳密な年や各設定の導入年を証明する資料ではない。</t>
  </si>
  <si>
    <t>S40</t>
  </si>
  <si>
    <t>MySQL 8.4 — XA Transaction SQL Statements</t>
  </si>
  <si>
    <t>https://dev.mysql.com/doc/refman/8.4/en/xa-statements.html</t>
  </si>
  <si>
    <t>XA RECOVERとXA_RECOVER_ADMIN、CONVERT XIDの構文。</t>
  </si>
  <si>
    <t>確認日：2026-10-09
recoveryユーザーの権限は実機で確認。</t>
  </si>
  <si>
    <t>S41</t>
  </si>
  <si>
    <t>MySQL 8.4 — Server System Variables</t>
  </si>
  <si>
    <t>https://dev.mysql.com/doc/refman/8.4/en/server-system-variables.html</t>
  </si>
  <si>
    <t>max_execution_time、xa_detach_on_prepare、lock_wait_timeoutの区別。</t>
  </si>
  <si>
    <t>確認日：2026-10-09
MySQL標準の変数仕様とAuroraの実際の値・対応を区別する。</t>
  </si>
  <si>
    <t>S42</t>
  </si>
  <si>
    <t>Red Hat public API</t>
  </si>
  <si>
    <t>EAP 8.1 — TransactionTimeout annotation</t>
  </si>
  <si>
    <t>https://access.redhat.com/webassets/avalon/d/red_hat_jboss_enterprise_application_platform/8.1/javadocs/org/jboss/ejb3/annotation/TransactionTimeout.html</t>
  </si>
  <si>
    <t>EAPのEJB個別transaction timeout、TimeUnit。</t>
  </si>
  <si>
    <t>確認日：2026-10-09
既存transactionに参加する呼出しで期限がリセットされるとは扱わない。</t>
  </si>
  <si>
    <t>4つの時計と2PCの境界を図で見る</t>
  </si>
  <si>
    <t>矢印・色は説明用。時刻は縮尺を含めた教育例で、実測結果ではない。</t>
  </si>
  <si>
    <t>A：通常の処理と予算</t>
  </si>
  <si>
    <t>0秒</t>
  </si>
  <si>
    <t>10秒</t>
  </si>
  <si>
    <t>20秒</t>
  </si>
  <si>
    <t>30秒</t>
  </si>
  <si>
    <t>40秒</t>
  </si>
  <si>
    <t>50秒</t>
  </si>
  <si>
    <t>60秒</t>
  </si>
  <si>
    <t>70秒</t>
  </si>
  <si>
    <t>80秒</t>
  </si>
  <si>
    <t>90秒</t>
  </si>
  <si>
    <t>JTAの活動期限：T60</t>
  </si>
  <si>
    <t>全体時計</t>
  </si>
  <si>
    <t>SQL1：例 5〜15秒</t>
  </si>
  <si>
    <t>開始 →</t>
  </si>
  <si>
    <t>終了</t>
  </si>
  <si>
    <t>SQL2：例 25〜35秒</t>
  </si>
  <si>
    <t>終了用reserve：20秒</t>
  </si>
  <si>
    <t>余裕を確保</t>
  </si>
  <si>
    <t>2PC：例 40〜45秒</t>
  </si>
  <si>
    <t>prepare
決定→commit</t>
  </si>
  <si>
    <t>外側応答予算：H90</t>
  </si>
  <si>
    <t>request予算</t>
  </si>
  <si>
    <t>全体の残りへSQLを連動しても、終了用reserve20秒は自動では差し引かない。上の2PC位置は正常例の予定で、JTA60秒以内の通信完了を保証しない。</t>
  </si>
  <si>
    <t>B：2PCとJTAの境界</t>
  </si>
  <si>
    <t>begin</t>
  </si>
  <si>
    <t>SQL</t>
  </si>
  <si>
    <t>flush</t>
  </si>
  <si>
    <t>XA END</t>
  </si>
  <si>
    <t>prepare</t>
  </si>
  <si>
    <t>決定記録</t>
  </si>
  <si>
    <t>commit</t>
  </si>
  <si>
    <t>応答</t>
  </si>
  <si>
    <t>障害後</t>
  </si>
  <si>
    <t>recovery</t>
  </si>
  <si>
    <t>TMの状態（単純化）</t>
  </si>
  <si>
    <t>RUNNING</t>
  </si>
  <si>
    <t>状態確認</t>
  </si>
  <si>
    <t>PREPARING</t>
  </si>
  <si>
    <t>決定境界</t>
  </si>
  <si>
    <t>COMMITTING</t>
  </si>
  <si>
    <t>未解決あり</t>
  </si>
  <si>
    <t>同じ結果へ</t>
  </si>
  <si>
    <t>JTAの位置づけ</t>
  </si>
  <si>
    <t>寿命を監視</t>
  </si>
  <si>
    <t>競合し得る</t>
  </si>
  <si>
    <t>状態次第</t>
  </si>
  <si>
    <t>強制終了を
保証しない</t>
  </si>
  <si>
    <t>逆の決定へ
変えない</t>
  </si>
  <si>
    <t>活動期限で
戻せない</t>
  </si>
  <si>
    <t>完了を確認</t>
  </si>
  <si>
    <t>期限経過≠
解決済み</t>
  </si>
  <si>
    <t>別の時間軸</t>
  </si>
  <si>
    <t>SQL query timeout</t>
  </si>
  <si>
    <t>対象外</t>
  </si>
  <si>
    <t>対象</t>
  </si>
  <si>
    <t>SQLなら対象</t>
  </si>
  <si>
    <t>内部XA
自動対象外</t>
  </si>
  <si>
    <t>fetchは確認</t>
  </si>
  <si>
    <t>通信を確認</t>
  </si>
  <si>
    <t>復旧接続
別途確認</t>
  </si>
  <si>
    <t>核心：代表Narayanaのrunning条件はRUNNING/ABORT_ONLY。Reaper登録がcommit完了まで残っていても、prepare/commitをJTA期限で強制終了できる意味ではない。commit決定後は同じ結果へ回復する。根拠：S19〜S23。</t>
  </si>
  <si>
    <t>C：固定Qと個別P</t>
  </si>
  <si>
    <t>JTA残り</t>
  </si>
  <si>
    <t>固定Q</t>
  </si>
  <si>
    <t>個別P</t>
  </si>
  <si>
    <t>実効SQL</t>
  </si>
  <si>
    <t>読むポイント</t>
  </si>
  <si>
    <t>落とし穴</t>
  </si>
  <si>
    <t>なし</t>
  </si>
  <si>
    <t>Q10はminに</t>
  </si>
  <si>
    <t>入らない</t>
  </si>
  <si>
    <t>主案</t>
  </si>
  <si>
    <t>個別Pと残り</t>
  </si>
  <si>
    <t>の短い方</t>
  </si>
  <si>
    <t>残り僅か</t>
  </si>
  <si>
    <t>4秒</t>
  </si>
  <si>
    <t>後始末時間は</t>
  </si>
  <si>
    <t>別に確保</t>
  </si>
  <si>
    <t>D：commit応答消失  ｜  TM：prepare成功 → commit決定を保存 → XA COMMIT送信 → 応答待ちtimeout  ｜  RM：受信 → commit済み → 応答だけ消失もある。『timeout＝未反映』と判断せず、Xid・取引ID・recoveryで最終結果を確かめる。根拠：S10・S13・S25。</t>
  </si>
  <si>
    <t>色の意味：青＝全体予算、緑＝SQL/正常確定、黄＝判断・終了予備、淡色＝外側request。時刻セルは10秒区間の概略で、SQL1/2や2PCの正確な縮尺を保証するグラフではない。11の詳細時系列も参照。</t>
  </si>
</sst>
</file>

<file path=xl/styles.xml><?xml version="1.0" encoding="utf-8"?>
<styleSheet xmlns="http://schemas.openxmlformats.org/spreadsheetml/2006/main">
  <numFmts count="1">
    <numFmt numFmtId="164" formatCode="0.###"/>
  </numFmts>
  <fonts count="11">
    <font>
      <sz val="11"/>
      <color theme="1"/>
      <name val="Meiryo UI"/>
      <family val="2"/>
    </font>
    <font>
      <sz val="11"/>
      <color rgb="FF223C4D"/>
      <name val="Meiryo UI"/>
      <family val="2"/>
    </font>
    <font>
      <b/>
      <sz val="21"/>
      <color rgb="FFFFFFFF"/>
      <name val="Meiryo UI"/>
      <family val="2"/>
    </font>
    <font>
      <sz val="11"/>
      <color rgb="FF536B7A"/>
      <name val="Meiryo UI"/>
      <family val="2"/>
    </font>
    <font>
      <u/>
      <sz val="11"/>
      <color rgb="FF145FA6"/>
      <name val="Meiryo UI"/>
      <family val="2"/>
    </font>
    <font>
      <b/>
      <sz val="11"/>
      <color rgb="FFFFFFFF"/>
      <name val="Meiryo UI"/>
      <family val="2"/>
    </font>
    <font>
      <b/>
      <sz val="11"/>
      <color rgb="FF223C4D"/>
      <name val="Meiryo UI"/>
      <family val="2"/>
    </font>
    <font>
      <u/>
      <sz val="10"/>
      <color rgb="FF145FA6"/>
      <name val="Meiryo UI"/>
      <family val="2"/>
    </font>
    <font>
      <b/>
      <u/>
      <sz val="11"/>
      <color rgb="FF145FA6"/>
      <name val="Meiryo UI"/>
      <family val="2"/>
    </font>
    <font>
      <sz val="11"/>
      <color rgb="FF18344B"/>
      <name val="Meiryo UI"/>
      <family val="2"/>
    </font>
    <font>
      <b/>
      <sz val="11"/>
      <color rgb="FF145FA6"/>
      <name val="Meiryo UI"/>
      <family val="2"/>
    </font>
  </fonts>
  <fills count="13">
    <fill>
      <patternFill patternType="none"/>
    </fill>
    <fill>
      <patternFill patternType="gray125"/>
    </fill>
    <fill>
      <patternFill patternType="solid">
        <fgColor rgb="FFFFFFFF"/>
        <bgColor indexed="64"/>
      </patternFill>
    </fill>
    <fill>
      <patternFill patternType="solid">
        <fgColor rgb="FF18344B"/>
        <bgColor indexed="64"/>
      </patternFill>
    </fill>
    <fill>
      <patternFill patternType="solid">
        <fgColor rgb="FF006E78"/>
        <bgColor indexed="64"/>
      </patternFill>
    </fill>
    <fill>
      <patternFill patternType="solid">
        <fgColor rgb="FFF3F7FA"/>
        <bgColor indexed="64"/>
      </patternFill>
    </fill>
    <fill>
      <patternFill patternType="solid">
        <fgColor rgb="FFDEEBF8"/>
        <bgColor indexed="64"/>
      </patternFill>
    </fill>
    <fill>
      <patternFill patternType="solid">
        <fgColor rgb="FFE5F1E9"/>
        <bgColor indexed="64"/>
      </patternFill>
    </fill>
    <fill>
      <patternFill patternType="solid">
        <fgColor rgb="FFF9EED4"/>
        <bgColor indexed="64"/>
      </patternFill>
    </fill>
    <fill>
      <patternFill patternType="solid">
        <fgColor rgb="FFE8F1FC"/>
        <bgColor indexed="64"/>
      </patternFill>
    </fill>
    <fill>
      <patternFill patternType="solid">
        <fgColor rgb="FFECF6EF"/>
        <bgColor indexed="64"/>
      </patternFill>
    </fill>
    <fill>
      <patternFill patternType="solid">
        <fgColor rgb="FFFFF4DA"/>
        <bgColor indexed="64"/>
      </patternFill>
    </fill>
    <fill>
      <patternFill patternType="solid">
        <fgColor rgb="FFDCEBFF"/>
        <bgColor indexed="64"/>
      </patternFill>
    </fill>
  </fills>
  <borders count="3">
    <border>
      <left/>
      <right/>
      <top/>
      <bottom/>
      <diagonal/>
    </border>
    <border>
      <left style="thin">
        <color rgb="FFD9E3EA"/>
      </left>
      <right style="thin">
        <color rgb="FFD9E3EA"/>
      </right>
      <top style="thin">
        <color rgb="FFD9E3EA"/>
      </top>
      <bottom style="thin">
        <color rgb="FFD9E3EA"/>
      </bottom>
      <diagonal/>
    </border>
    <border>
      <left/>
      <right/>
      <top/>
      <bottom/>
      <diagonal/>
    </border>
  </borders>
  <cellStyleXfs count="1">
    <xf numFmtId="0" fontId="0" fillId="0" borderId="0"/>
  </cellStyleXfs>
  <cellXfs count="26">
    <xf numFmtId="0" fontId="0" fillId="0" borderId="0" xfId="0"/>
    <xf numFmtId="0" fontId="1" fillId="2" borderId="1" xfId="0" applyFont="1" applyFill="1" applyBorder="1" applyAlignment="1">
      <alignment vertical="top" wrapText="1"/>
    </xf>
    <xf numFmtId="0" fontId="2" fillId="3" borderId="2" xfId="0" applyFont="1" applyFill="1" applyBorder="1" applyAlignment="1">
      <alignment vertical="center" wrapText="1"/>
    </xf>
    <xf numFmtId="0" fontId="3" fillId="2" borderId="2" xfId="0" applyFont="1" applyFill="1" applyBorder="1" applyAlignment="1">
      <alignment vertical="center" wrapText="1"/>
    </xf>
    <xf numFmtId="0" fontId="4" fillId="2" borderId="2" xfId="0" applyFont="1" applyFill="1" applyBorder="1" applyAlignment="1">
      <alignment vertical="center" wrapText="1"/>
    </xf>
    <xf numFmtId="0" fontId="5" fillId="4" borderId="1" xfId="0" applyFont="1" applyFill="1" applyBorder="1" applyAlignment="1">
      <alignment vertical="center" wrapText="1"/>
    </xf>
    <xf numFmtId="164" fontId="1" fillId="5" borderId="1" xfId="0" applyNumberFormat="1" applyFont="1" applyFill="1" applyBorder="1" applyAlignment="1">
      <alignment horizontal="center" vertical="center" wrapText="1"/>
    </xf>
    <xf numFmtId="0" fontId="6" fillId="6" borderId="1" xfId="0" applyFont="1" applyFill="1" applyBorder="1" applyAlignment="1">
      <alignment vertical="top" wrapText="1"/>
    </xf>
    <xf numFmtId="0" fontId="1" fillId="7" borderId="1" xfId="0" applyFont="1" applyFill="1" applyBorder="1" applyAlignment="1">
      <alignment vertical="top" wrapText="1"/>
    </xf>
    <xf numFmtId="0" fontId="1" fillId="5" borderId="1" xfId="0" applyFont="1" applyFill="1" applyBorder="1" applyAlignment="1">
      <alignment vertical="top" wrapText="1"/>
    </xf>
    <xf numFmtId="0" fontId="1" fillId="8" borderId="1" xfId="0" applyFont="1" applyFill="1" applyBorder="1" applyAlignment="1">
      <alignment vertical="top" wrapText="1"/>
    </xf>
    <xf numFmtId="0" fontId="7" fillId="5" borderId="1" xfId="0" applyFont="1" applyFill="1" applyBorder="1" applyAlignment="1">
      <alignment vertical="top" wrapText="1"/>
    </xf>
    <xf numFmtId="164" fontId="1" fillId="2" borderId="1" xfId="0" applyNumberFormat="1" applyFont="1" applyFill="1" applyBorder="1" applyAlignment="1">
      <alignment horizontal="center" vertical="center" wrapText="1"/>
    </xf>
    <xf numFmtId="0" fontId="6" fillId="9" borderId="1" xfId="0" applyFont="1" applyFill="1" applyBorder="1" applyAlignment="1">
      <alignment vertical="top" wrapText="1"/>
    </xf>
    <xf numFmtId="0" fontId="1" fillId="10" borderId="1" xfId="0" applyFont="1" applyFill="1" applyBorder="1" applyAlignment="1">
      <alignment vertical="top" wrapText="1"/>
    </xf>
    <xf numFmtId="0" fontId="1" fillId="11" borderId="1" xfId="0" applyFont="1" applyFill="1" applyBorder="1" applyAlignment="1">
      <alignment vertical="top" wrapText="1"/>
    </xf>
    <xf numFmtId="0" fontId="7" fillId="2" borderId="1" xfId="0" applyFont="1" applyFill="1" applyBorder="1" applyAlignment="1">
      <alignment vertical="top" wrapText="1"/>
    </xf>
    <xf numFmtId="0" fontId="8" fillId="2" borderId="1" xfId="0" applyFont="1" applyFill="1" applyBorder="1" applyAlignment="1">
      <alignment vertical="top" wrapText="1"/>
    </xf>
    <xf numFmtId="0" fontId="8" fillId="5" borderId="1" xfId="0" applyFont="1" applyFill="1" applyBorder="1" applyAlignment="1">
      <alignment vertical="top" wrapText="1"/>
    </xf>
    <xf numFmtId="164" fontId="6" fillId="10" borderId="1" xfId="0" applyNumberFormat="1" applyFont="1" applyFill="1" applyBorder="1" applyAlignment="1">
      <alignment vertical="center" wrapText="1"/>
    </xf>
    <xf numFmtId="0" fontId="9" fillId="11" borderId="2" xfId="0" applyFont="1" applyFill="1" applyBorder="1" applyAlignment="1">
      <alignment vertical="center" wrapText="1"/>
    </xf>
    <xf numFmtId="164" fontId="10" fillId="12" borderId="1" xfId="0" applyNumberFormat="1"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5" borderId="1" xfId="0" applyFont="1" applyFill="1" applyBorder="1" applyAlignment="1">
      <alignment horizontal="center" vertical="center" wrapText="1"/>
    </xf>
  </cellXfs>
  <cellStyles count="1">
    <cellStyle name="Normal" xfId="0" builtinId="0"/>
  </cellStyles>
  <dxfs count="2">
    <dxf>
      <font>
        <b/>
        <color rgb="FF223C4D"/>
      </font>
      <fill>
        <patternFill>
          <bgColor rgb="FFFCE8E6"/>
        </patternFill>
      </fill>
      <border>
        <left style="thin">
          <color rgb="FFD9E3EA"/>
        </left>
        <right style="thin">
          <color rgb="FFD9E3EA"/>
        </right>
        <top style="thin">
          <color rgb="FFD9E3EA"/>
        </top>
        <bottom style="thin">
          <color rgb="FFD9E3EA"/>
        </bottom>
        <vertical/>
        <horizontal/>
      </border>
    </dxf>
    <dxf>
      <font>
        <b/>
        <color rgb="FF223C4D"/>
      </font>
      <fill>
        <patternFill>
          <bgColor rgb="FFFFF4DA"/>
        </patternFill>
      </fill>
      <border>
        <left style="thin">
          <color rgb="FFD9E3EA"/>
        </left>
        <right style="thin">
          <color rgb="FFD9E3EA"/>
        </right>
        <top style="thin">
          <color rgb="FFD9E3EA"/>
        </top>
        <bottom style="thin">
          <color rgb="FFD9E3EA"/>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2.xml.rels><?xml version="1.0" encoding="UTF-8" standalone="yes"?>
<Relationships xmlns="http://schemas.openxmlformats.org/package/2006/relationships"><Relationship Id="rId1" Type="http://schemas.openxmlformats.org/officeDocument/2006/relationships/hyperlink" Target="https://docs.redhat.com/en/documentation/red_hat_jboss_enterprise_application_platform/8.1/html/configuration_guide/reference_material" TargetMode="External"/><Relationship Id="rId2" Type="http://schemas.openxmlformats.org/officeDocument/2006/relationships/hyperlink" Target="https://docs.redhat.com/en/documentation/red_hat_jboss_enterprise_application_platform/8.1/html/configuration_guide/configuring_the_transactions_subsystem" TargetMode="External"/><Relationship Id="rId3" Type="http://schemas.openxmlformats.org/officeDocument/2006/relationships/hyperlink" Target="https://docs.redhat.com/en/documentation/red_hat_jboss_enterprise_application_platform/8.1/html/configuration_guide/datasource_management" TargetMode="External"/><Relationship Id="rId4" Type="http://schemas.openxmlformats.org/officeDocument/2006/relationships/hyperlink" Target="https://maven.repository.redhat.com/ga/org/jboss/eap/jboss-eap-parent/8.1.1.GA-redhat-00009/jboss-eap-parent-8.1.1.GA-redhat-00009.pom" TargetMode="External"/><Relationship Id="rId5" Type="http://schemas.openxmlformats.org/officeDocument/2006/relationships/hyperlink" Target="https://github.com/ironjacamar/ironjacamar/blob/3.0.10.Final/adapters/src/main/java/org/jboss/jca/adapters/jdbc/WrappedConnection.java" TargetMode="External"/><Relationship Id="rId6" Type="http://schemas.openxmlformats.org/officeDocument/2006/relationships/hyperlink" Target="https://github.com/ironjacamar/ironjacamar/blob/3.0.10.Final/adapters/src/main/java/org/jboss/jca/adapters/jdbc/WrapperDataSource.java" TargetMode="External"/><Relationship Id="rId7" Type="http://schemas.openxmlformats.org/officeDocument/2006/relationships/hyperlink" Target="https://github.com/ironjacamar/ironjacamar/blob/3.0.10.Final/adapters/src/main/java/org/jboss/jca/adapters/jdbc/WrappedStatement.java" TargetMode="External"/><Relationship Id="rId8" Type="http://schemas.openxmlformats.org/officeDocument/2006/relationships/hyperlink" Target="https://github.com/ironjacamar/ironjacamar/blob/3.0.10.Final/core/impl/src/main/java/org/jboss/jca/core/connectionmanager/tx/TxConnectionManagerImpl.java" TargetMode="External"/><Relationship Id="rId9" Type="http://schemas.openxmlformats.org/officeDocument/2006/relationships/hyperlink" Target="https://github.com/ironjacamar/ironjacamar/blob/3.0.10.Final/adapters/src/main/java/org/jboss/jca/adapters/jdbc/BaseWrapperManagedConnectionFactory.java" TargetMode="External"/><Relationship Id="rId10" Type="http://schemas.openxmlformats.org/officeDocument/2006/relationships/hyperlink" Target="https://github.com/mysql/mysql-connector-j/blob/9.7.0/src/main/user-impl/java/com/mysql/cj/jdbc/MysqlXAConnection.java" TargetMode="External"/><Relationship Id="rId11" Type="http://schemas.openxmlformats.org/officeDocument/2006/relationships/hyperlink" Target="https://github.com/mysql/mysql-connector-j/blob/9.7.0/src/main/core-impl/java/com/mysql/cj/CancelQueryTaskImpl.java" TargetMode="External"/><Relationship Id="rId12" Type="http://schemas.openxmlformats.org/officeDocument/2006/relationships/hyperlink" Target="https://github.com/mysql/mysql-connector-j/blob/9.7.0/src/main/user-impl/java/com/mysql/cj/jdbc/StatementImpl.java" TargetMode="External"/><Relationship Id="rId13" Type="http://schemas.openxmlformats.org/officeDocument/2006/relationships/hyperlink" Target="https://dev.mysql.com/doc/connector-j/en/connector-j-connp-props-networking.html" TargetMode="External"/><Relationship Id="rId14" Type="http://schemas.openxmlformats.org/officeDocument/2006/relationships/hyperlink" Target="https://dev.mysql.com/doc/connector-j/en/connector-j-connp-props-statements.html" TargetMode="External"/><Relationship Id="rId15" Type="http://schemas.openxmlformats.org/officeDocument/2006/relationships/hyperlink" Target="https://dev.mysql.com/doc/connector-j/en/connector-j-connp-props-performance-extensions.html" TargetMode="External"/><Relationship Id="rId16" Type="http://schemas.openxmlformats.org/officeDocument/2006/relationships/hyperlink" Target="https://docs.oracle.com/en/java/javase/21/docs/api/java.sql/java/sql/Statement.html" TargetMode="External"/><Relationship Id="rId17" Type="http://schemas.openxmlformats.org/officeDocument/2006/relationships/hyperlink" Target="https://docs.oracle.com/en/java/javase/21/docs/api/java.transaction.xa/javax/transaction/xa/XAResource.html" TargetMode="External"/><Relationship Id="rId18" Type="http://schemas.openxmlformats.org/officeDocument/2006/relationships/hyperlink" Target="https://jakarta.ee/specifications/transactions/2.0/jakarta-transactions-spec-2.0.html" TargetMode="External"/><Relationship Id="rId19" Type="http://schemas.openxmlformats.org/officeDocument/2006/relationships/hyperlink" Target="https://github.com/jbosstm/narayana/blob/7.1.2.Final/ArjunaCore/arjuna/classes/com/arjuna/ats/arjuna/coordinator/TransactionReaper.java" TargetMode="External"/><Relationship Id="rId20" Type="http://schemas.openxmlformats.org/officeDocument/2006/relationships/hyperlink" Target="https://github.com/jbosstm/narayana/blob/7.1.2.Final/ArjunaCore/arjuna/classes/com/arjuna/ats/arjuna/coordinator/TwoPhaseCoordinator.java" TargetMode="External"/><Relationship Id="rId21" Type="http://schemas.openxmlformats.org/officeDocument/2006/relationships/hyperlink" Target="https://github.com/jbosstm/narayana/blob/7.1.2.Final/ArjunaCore/arjuna/classes/com/arjuna/ats/arjuna/coordinator/BasicAction.java" TargetMode="External"/><Relationship Id="rId22" Type="http://schemas.openxmlformats.org/officeDocument/2006/relationships/hyperlink" Target="https://github.com/jbosstm/narayana/blob/7.1.2.Final/ArjunaCore/arjuna/classes/com/arjuna/ats/arjuna/AtomicAction.java" TargetMode="External"/><Relationship Id="rId23" Type="http://schemas.openxmlformats.org/officeDocument/2006/relationships/hyperlink" Target="https://github.com/jbosstm/narayana/blob/7.1.2.Final/ArjunaJTA/jta/classes/com/arjuna/ats/internal/jta/transaction/arjunacore/TransactionImple.java" TargetMode="External"/><Relationship Id="rId24" Type="http://schemas.openxmlformats.org/officeDocument/2006/relationships/hyperlink" Target="https://www.narayana.io/docs/project/index.html" TargetMode="External"/><Relationship Id="rId25" Type="http://schemas.openxmlformats.org/officeDocument/2006/relationships/hyperlink" Target="https://www.narayana.io/docs/product/index.html" TargetMode="External"/><Relationship Id="rId26" Type="http://schemas.openxmlformats.org/officeDocument/2006/relationships/hyperlink" Target="https://docs.aws.amazon.com/AmazonRDS/latest/AuroraUserGuide/AuroraMySQL.BestPractices.FeatureRecommendations.html" TargetMode="External"/><Relationship Id="rId27" Type="http://schemas.openxmlformats.org/officeDocument/2006/relationships/hyperlink" Target="https://dev.mysql.com/doc/refman/8.4/en/xa-states.html" TargetMode="External"/><Relationship Id="rId28" Type="http://schemas.openxmlformats.org/officeDocument/2006/relationships/hyperlink" Target="https://dev.mysql.com/doc/refman/8.4/en/xa-restrictions.html" TargetMode="External"/><Relationship Id="rId29" Type="http://schemas.openxmlformats.org/officeDocument/2006/relationships/hyperlink" Target="https://dev.mysql.com/doc/refman/8.4/en/innodb-parameters.html" TargetMode="External"/><Relationship Id="rId30" Type="http://schemas.openxmlformats.org/officeDocument/2006/relationships/hyperlink" Target="https://dev.mysql.com/doc/refman/8.4/en/innodb-error-handling.html" TargetMode="External"/><Relationship Id="rId31" Type="http://schemas.openxmlformats.org/officeDocument/2006/relationships/hyperlink" Target="https://docs.aws.amazon.com/AmazonRDS/latest/AuroraMySQLReleaseNotes/AuroraMySQL.Updates.847.html" TargetMode="External"/><Relationship Id="rId32" Type="http://schemas.openxmlformats.org/officeDocument/2006/relationships/hyperlink" Target="https://dev.mysql.com/doc/relnotes/connector-j/en/news-9-7-0.html" TargetMode="External"/><Relationship Id="rId33" Type="http://schemas.openxmlformats.org/officeDocument/2006/relationships/hyperlink" Target="https://docs.aws.amazon.com/AmazonRDS/latest/AuroraUserGuide/aurora-serverless-v2-auto-pause.html" TargetMode="External"/><Relationship Id="rId34" Type="http://schemas.openxmlformats.org/officeDocument/2006/relationships/hyperlink" Target="https://docs.aws.amazon.com/AmazonRDS/latest/AuroraUserGuide/aurora-serverless-v2.how-it-works.html" TargetMode="External"/><Relationship Id="rId35" Type="http://schemas.openxmlformats.org/officeDocument/2006/relationships/hyperlink" Target="https://www.opengroup.org/view-standards-information-base-historical" TargetMode="External"/><Relationship Id="rId36" Type="http://schemas.openxmlformats.org/officeDocument/2006/relationships/hyperlink" Target="https://jakarta.ee/specifications/transactions/2.0/" TargetMode="External"/><Relationship Id="rId37" Type="http://schemas.openxmlformats.org/officeDocument/2006/relationships/hyperlink" Target="https://www.ironjacamar.org/doc/userguide/1.0/en-US/html_single/index.html" TargetMode="External"/><Relationship Id="rId38" Type="http://schemas.openxmlformats.org/officeDocument/2006/relationships/hyperlink" Target="https://access.redhat.com/articles/6961381" TargetMode="External"/><Relationship Id="rId39" Type="http://schemas.openxmlformats.org/officeDocument/2006/relationships/hyperlink" Target="https://www.narayana.io/" TargetMode="External"/><Relationship Id="rId40" Type="http://schemas.openxmlformats.org/officeDocument/2006/relationships/hyperlink" Target="https://dev.mysql.com/doc/refman/8.4/en/xa-statements.html" TargetMode="External"/><Relationship Id="rId41" Type="http://schemas.openxmlformats.org/officeDocument/2006/relationships/hyperlink" Target="https://dev.mysql.com/doc/refman/8.4/en/server-system-variables.html" TargetMode="External"/><Relationship Id="rId42" Type="http://schemas.openxmlformats.org/officeDocument/2006/relationships/hyperlink" Target="https://access.redhat.com/webassets/avalon/d/red_hat_jboss_enterprise_application_platform/8.1/javadocs/org/jboss/ejb3/annotation/TransactionTimeout.html" TargetMode="External"/></Relationships>
</file>

<file path=xl/worksheets/sheet1.xml><?xml version="1.0" encoding="utf-8"?>
<worksheet xmlns="http://schemas.openxmlformats.org/spreadsheetml/2006/main" xmlns:r="http://schemas.openxmlformats.org/officeDocument/2006/relationships">
  <sheetPr>
    <tabColor rgb="FF18344B"/>
    <pageSetUpPr fitToPage="1"/>
  </sheetPr>
  <dimension ref="A1:F36"/>
  <sheetViews>
    <sheetView showGridLines="0" tabSelected="1" zoomScale="90" zoomScaleNormal="90"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0</v>
      </c>
      <c r="B1" s="2"/>
      <c r="C1" s="2"/>
      <c r="D1" s="2"/>
      <c r="E1" s="2"/>
      <c r="F1" s="2"/>
    </row>
    <row r="2" spans="1:6" ht="37" customHeight="1">
      <c r="A2" s="3" t="s">
        <v>1</v>
      </c>
      <c r="B2" s="3"/>
      <c r="C2" s="3"/>
      <c r="D2" s="3"/>
      <c r="E2" s="3"/>
      <c r="F2" s="3"/>
    </row>
    <row r="3" spans="1:6" ht="29" customHeight="1">
      <c r="A3" s="4" t="s">
        <v>2</v>
      </c>
      <c r="B3" s="3" t="s">
        <v>3</v>
      </c>
      <c r="C3" s="3"/>
      <c r="D3" s="3"/>
      <c r="E3" s="3"/>
      <c r="F3" s="3"/>
    </row>
    <row r="5" spans="1:6" ht="40" customHeight="1">
      <c r="A5" s="5" t="s">
        <v>4</v>
      </c>
      <c r="B5" s="5" t="s">
        <v>5</v>
      </c>
      <c r="C5" s="5" t="s">
        <v>6</v>
      </c>
      <c r="D5" s="5" t="s">
        <v>7</v>
      </c>
      <c r="E5" s="5" t="s">
        <v>8</v>
      </c>
      <c r="F5" s="5" t="s">
        <v>9</v>
      </c>
    </row>
    <row r="6" spans="1:6" ht="49" customHeight="1">
      <c r="A6" s="6">
        <v>1</v>
      </c>
      <c r="B6" s="7" t="s">
        <v>10</v>
      </c>
      <c r="C6" s="8" t="s">
        <v>11</v>
      </c>
      <c r="D6" s="9" t="s">
        <v>12</v>
      </c>
      <c r="E6" s="10" t="s">
        <v>13</v>
      </c>
      <c r="F6" s="11" t="s">
        <v>14</v>
      </c>
    </row>
    <row r="7" spans="1:6" ht="66.5" customHeight="1">
      <c r="A7" s="12">
        <v>2</v>
      </c>
      <c r="B7" s="13" t="s">
        <v>15</v>
      </c>
      <c r="C7" s="14" t="s">
        <v>16</v>
      </c>
      <c r="D7" s="1" t="s">
        <v>17</v>
      </c>
      <c r="E7" s="15" t="s">
        <v>18</v>
      </c>
      <c r="F7" s="16" t="s">
        <v>19</v>
      </c>
    </row>
    <row r="8" spans="1:6" ht="66.5" customHeight="1">
      <c r="A8" s="6">
        <v>3</v>
      </c>
      <c r="B8" s="7" t="s">
        <v>20</v>
      </c>
      <c r="C8" s="8" t="s">
        <v>21</v>
      </c>
      <c r="D8" s="9" t="s">
        <v>22</v>
      </c>
      <c r="E8" s="10" t="s">
        <v>23</v>
      </c>
      <c r="F8" s="11" t="s">
        <v>24</v>
      </c>
    </row>
    <row r="9" spans="1:6" ht="49" customHeight="1">
      <c r="A9" s="12">
        <v>4</v>
      </c>
      <c r="B9" s="13" t="s">
        <v>25</v>
      </c>
      <c r="C9" s="14" t="s">
        <v>26</v>
      </c>
      <c r="D9" s="1" t="s">
        <v>27</v>
      </c>
      <c r="E9" s="15" t="s">
        <v>28</v>
      </c>
      <c r="F9" s="16" t="s">
        <v>29</v>
      </c>
    </row>
    <row r="10" spans="1:6" ht="66.5" customHeight="1">
      <c r="A10" s="6">
        <v>5</v>
      </c>
      <c r="B10" s="7" t="s">
        <v>30</v>
      </c>
      <c r="C10" s="8" t="s">
        <v>31</v>
      </c>
      <c r="D10" s="9" t="s">
        <v>32</v>
      </c>
      <c r="E10" s="10" t="s">
        <v>33</v>
      </c>
      <c r="F10" s="11" t="s">
        <v>34</v>
      </c>
    </row>
    <row r="11" spans="1:6" ht="49" customHeight="1">
      <c r="A11" s="12">
        <v>6</v>
      </c>
      <c r="B11" s="13" t="s">
        <v>35</v>
      </c>
      <c r="C11" s="14" t="s">
        <v>36</v>
      </c>
      <c r="D11" s="1" t="s">
        <v>37</v>
      </c>
      <c r="E11" s="15" t="s">
        <v>38</v>
      </c>
      <c r="F11" s="16" t="s">
        <v>39</v>
      </c>
    </row>
    <row r="14" spans="1:6" ht="38" customHeight="1">
      <c r="A14" s="5" t="s">
        <v>4</v>
      </c>
      <c r="B14" s="5" t="s">
        <v>40</v>
      </c>
      <c r="C14" s="5" t="s">
        <v>41</v>
      </c>
      <c r="D14" s="5" t="s">
        <v>42</v>
      </c>
      <c r="E14" s="5" t="s">
        <v>43</v>
      </c>
      <c r="F14" s="5" t="s">
        <v>44</v>
      </c>
    </row>
    <row r="15" spans="1:6" ht="49" customHeight="1">
      <c r="A15" s="12">
        <v>1</v>
      </c>
      <c r="B15" s="17" t="s">
        <v>45</v>
      </c>
      <c r="C15" s="14" t="s">
        <v>46</v>
      </c>
      <c r="D15" s="1" t="s">
        <v>47</v>
      </c>
      <c r="E15" s="15" t="s">
        <v>48</v>
      </c>
      <c r="F15" s="1" t="s">
        <v>44</v>
      </c>
    </row>
    <row r="16" spans="1:6" ht="49" customHeight="1">
      <c r="A16" s="6">
        <v>2</v>
      </c>
      <c r="B16" s="18" t="s">
        <v>49</v>
      </c>
      <c r="C16" s="8" t="s">
        <v>50</v>
      </c>
      <c r="D16" s="9" t="s">
        <v>51</v>
      </c>
      <c r="E16" s="10" t="s">
        <v>48</v>
      </c>
      <c r="F16" s="9" t="s">
        <v>44</v>
      </c>
    </row>
    <row r="17" spans="1:6" ht="49" customHeight="1">
      <c r="A17" s="12">
        <v>3</v>
      </c>
      <c r="B17" s="17" t="s">
        <v>52</v>
      </c>
      <c r="C17" s="14" t="s">
        <v>53</v>
      </c>
      <c r="D17" s="1" t="s">
        <v>54</v>
      </c>
      <c r="E17" s="15" t="s">
        <v>48</v>
      </c>
      <c r="F17" s="1" t="s">
        <v>44</v>
      </c>
    </row>
    <row r="18" spans="1:6" ht="49" customHeight="1">
      <c r="A18" s="6">
        <v>4</v>
      </c>
      <c r="B18" s="18" t="s">
        <v>55</v>
      </c>
      <c r="C18" s="8" t="s">
        <v>56</v>
      </c>
      <c r="D18" s="9" t="s">
        <v>57</v>
      </c>
      <c r="E18" s="10" t="s">
        <v>48</v>
      </c>
      <c r="F18" s="9" t="s">
        <v>44</v>
      </c>
    </row>
    <row r="19" spans="1:6" ht="49" customHeight="1">
      <c r="A19" s="12">
        <v>5</v>
      </c>
      <c r="B19" s="17" t="s">
        <v>58</v>
      </c>
      <c r="C19" s="14" t="s">
        <v>59</v>
      </c>
      <c r="D19" s="1" t="s">
        <v>60</v>
      </c>
      <c r="E19" s="15" t="s">
        <v>61</v>
      </c>
      <c r="F19" s="1" t="s">
        <v>44</v>
      </c>
    </row>
    <row r="20" spans="1:6" ht="49" customHeight="1">
      <c r="A20" s="6">
        <v>6</v>
      </c>
      <c r="B20" s="18" t="s">
        <v>62</v>
      </c>
      <c r="C20" s="8" t="s">
        <v>63</v>
      </c>
      <c r="D20" s="9" t="s">
        <v>64</v>
      </c>
      <c r="E20" s="10" t="s">
        <v>61</v>
      </c>
      <c r="F20" s="9" t="s">
        <v>44</v>
      </c>
    </row>
    <row r="21" spans="1:6" ht="49" customHeight="1">
      <c r="A21" s="12">
        <v>7</v>
      </c>
      <c r="B21" s="17" t="s">
        <v>65</v>
      </c>
      <c r="C21" s="14" t="s">
        <v>66</v>
      </c>
      <c r="D21" s="1" t="s">
        <v>67</v>
      </c>
      <c r="E21" s="15" t="s">
        <v>61</v>
      </c>
      <c r="F21" s="1" t="s">
        <v>44</v>
      </c>
    </row>
    <row r="22" spans="1:6" ht="49" customHeight="1">
      <c r="A22" s="6">
        <v>8</v>
      </c>
      <c r="B22" s="18" t="s">
        <v>68</v>
      </c>
      <c r="C22" s="8" t="s">
        <v>69</v>
      </c>
      <c r="D22" s="9" t="s">
        <v>70</v>
      </c>
      <c r="E22" s="10" t="s">
        <v>61</v>
      </c>
      <c r="F22" s="9" t="s">
        <v>44</v>
      </c>
    </row>
    <row r="23" spans="1:6" ht="38" customHeight="1">
      <c r="A23" s="12">
        <v>9</v>
      </c>
      <c r="B23" s="17" t="s">
        <v>71</v>
      </c>
      <c r="C23" s="14" t="s">
        <v>72</v>
      </c>
      <c r="D23" s="1" t="s">
        <v>73</v>
      </c>
      <c r="E23" s="15" t="s">
        <v>61</v>
      </c>
      <c r="F23" s="1" t="s">
        <v>44</v>
      </c>
    </row>
    <row r="24" spans="1:6" ht="49" customHeight="1">
      <c r="A24" s="6">
        <v>10</v>
      </c>
      <c r="B24" s="18" t="s">
        <v>74</v>
      </c>
      <c r="C24" s="8" t="s">
        <v>75</v>
      </c>
      <c r="D24" s="9" t="s">
        <v>76</v>
      </c>
      <c r="E24" s="10" t="s">
        <v>61</v>
      </c>
      <c r="F24" s="9" t="s">
        <v>44</v>
      </c>
    </row>
    <row r="25" spans="1:6" ht="49" customHeight="1">
      <c r="A25" s="12">
        <v>11</v>
      </c>
      <c r="B25" s="17" t="s">
        <v>77</v>
      </c>
      <c r="C25" s="14" t="s">
        <v>78</v>
      </c>
      <c r="D25" s="1" t="s">
        <v>79</v>
      </c>
      <c r="E25" s="15" t="s">
        <v>61</v>
      </c>
      <c r="F25" s="1" t="s">
        <v>44</v>
      </c>
    </row>
    <row r="26" spans="1:6" ht="49" customHeight="1">
      <c r="A26" s="6">
        <v>12</v>
      </c>
      <c r="B26" s="18" t="s">
        <v>80</v>
      </c>
      <c r="C26" s="8" t="s">
        <v>81</v>
      </c>
      <c r="D26" s="9" t="s">
        <v>82</v>
      </c>
      <c r="E26" s="10" t="s">
        <v>61</v>
      </c>
      <c r="F26" s="9" t="s">
        <v>44</v>
      </c>
    </row>
    <row r="27" spans="1:6" ht="49" customHeight="1">
      <c r="A27" s="12">
        <v>13</v>
      </c>
      <c r="B27" s="17" t="s">
        <v>83</v>
      </c>
      <c r="C27" s="14" t="s">
        <v>84</v>
      </c>
      <c r="D27" s="1" t="s">
        <v>85</v>
      </c>
      <c r="E27" s="15" t="s">
        <v>86</v>
      </c>
      <c r="F27" s="1" t="s">
        <v>44</v>
      </c>
    </row>
    <row r="28" spans="1:6" ht="49" customHeight="1">
      <c r="A28" s="6">
        <v>14</v>
      </c>
      <c r="B28" s="18" t="s">
        <v>87</v>
      </c>
      <c r="C28" s="8" t="s">
        <v>88</v>
      </c>
      <c r="D28" s="9" t="s">
        <v>89</v>
      </c>
      <c r="E28" s="10" t="s">
        <v>86</v>
      </c>
      <c r="F28" s="9" t="s">
        <v>44</v>
      </c>
    </row>
    <row r="29" spans="1:6" ht="38" customHeight="1">
      <c r="A29" s="12">
        <v>15</v>
      </c>
      <c r="B29" s="17" t="s">
        <v>90</v>
      </c>
      <c r="C29" s="14" t="s">
        <v>91</v>
      </c>
      <c r="D29" s="1" t="s">
        <v>92</v>
      </c>
      <c r="E29" s="15" t="s">
        <v>86</v>
      </c>
      <c r="F29" s="1" t="s">
        <v>44</v>
      </c>
    </row>
    <row r="30" spans="1:6" ht="49" customHeight="1">
      <c r="A30" s="6">
        <v>16</v>
      </c>
      <c r="B30" s="18" t="s">
        <v>93</v>
      </c>
      <c r="C30" s="8" t="s">
        <v>94</v>
      </c>
      <c r="D30" s="9" t="s">
        <v>95</v>
      </c>
      <c r="E30" s="10" t="s">
        <v>86</v>
      </c>
      <c r="F30" s="9" t="s">
        <v>44</v>
      </c>
    </row>
    <row r="31" spans="1:6" ht="49" customHeight="1">
      <c r="A31" s="12">
        <v>17</v>
      </c>
      <c r="B31" s="17" t="s">
        <v>96</v>
      </c>
      <c r="C31" s="14" t="s">
        <v>97</v>
      </c>
      <c r="D31" s="1" t="s">
        <v>98</v>
      </c>
      <c r="E31" s="15" t="s">
        <v>86</v>
      </c>
      <c r="F31" s="1" t="s">
        <v>44</v>
      </c>
    </row>
    <row r="32" spans="1:6" ht="49" customHeight="1">
      <c r="A32" s="6">
        <v>18</v>
      </c>
      <c r="B32" s="18" t="s">
        <v>99</v>
      </c>
      <c r="C32" s="8" t="s">
        <v>100</v>
      </c>
      <c r="D32" s="9" t="s">
        <v>101</v>
      </c>
      <c r="E32" s="10" t="s">
        <v>86</v>
      </c>
      <c r="F32" s="9" t="s">
        <v>44</v>
      </c>
    </row>
    <row r="33" spans="1:6" ht="49" customHeight="1">
      <c r="A33" s="12">
        <v>19</v>
      </c>
      <c r="B33" s="17" t="s">
        <v>102</v>
      </c>
      <c r="C33" s="14" t="s">
        <v>103</v>
      </c>
      <c r="D33" s="1" t="s">
        <v>104</v>
      </c>
      <c r="E33" s="15" t="s">
        <v>86</v>
      </c>
      <c r="F33" s="1" t="s">
        <v>44</v>
      </c>
    </row>
    <row r="34" spans="1:6" ht="38" customHeight="1">
      <c r="A34" s="6">
        <v>20</v>
      </c>
      <c r="B34" s="18" t="s">
        <v>105</v>
      </c>
      <c r="C34" s="8" t="s">
        <v>106</v>
      </c>
      <c r="D34" s="9" t="s">
        <v>107</v>
      </c>
      <c r="E34" s="10" t="s">
        <v>86</v>
      </c>
      <c r="F34" s="9" t="s">
        <v>44</v>
      </c>
    </row>
    <row r="35" spans="1:6" ht="38" customHeight="1">
      <c r="A35" s="12">
        <v>21</v>
      </c>
      <c r="B35" s="17" t="s">
        <v>108</v>
      </c>
      <c r="C35" s="14" t="s">
        <v>109</v>
      </c>
      <c r="D35" s="1" t="s">
        <v>110</v>
      </c>
      <c r="E35" s="15" t="s">
        <v>86</v>
      </c>
      <c r="F35" s="1" t="s">
        <v>44</v>
      </c>
    </row>
    <row r="36" spans="1:6" ht="38" customHeight="1">
      <c r="A36" s="6">
        <v>22</v>
      </c>
      <c r="B36" s="18" t="s">
        <v>111</v>
      </c>
      <c r="C36" s="8" t="s">
        <v>112</v>
      </c>
      <c r="D36" s="9" t="s">
        <v>113</v>
      </c>
      <c r="E36" s="10" t="s">
        <v>114</v>
      </c>
      <c r="F36" s="9" t="s">
        <v>44</v>
      </c>
    </row>
  </sheetData>
  <mergeCells count="3">
    <mergeCell ref="A1:F1"/>
    <mergeCell ref="A2:F2"/>
    <mergeCell ref="B3:F3"/>
  </mergeCells>
  <hyperlinks>
    <hyperlink ref="A3" location="'00_はじめに'!A1" display="目次"/>
    <hyperlink ref="F6" location="'21_出典と確認範囲'!A23" tooltip="先頭の出典へ移動。全IDは出典一覧で確認。" display="S18 S19 S25"/>
    <hyperlink ref="F7" location="'21_出典と確認範囲'!A9" tooltip="先頭の出典へ移動。全IDは出典一覧で確認。" display="S04 S10 S31 S32"/>
    <hyperlink ref="F8" location="'21_出典と確認範囲'!A6" tooltip="先頭の出典へ移動。全IDは出典一覧で確認。" display="S01 S28 S33"/>
    <hyperlink ref="F9" location="'21_出典と確認範囲'!A10" tooltip="先頭の出典へ移動。全IDは出典一覧で確認。" display="S05 S10 / 設計例"/>
    <hyperlink ref="B15" location="'01_結論と設定案'!A1" display="01_結論と設定案"/>
    <hyperlink ref="B16" location="'02_小学生のたとえ'!A1" display="02_小学生のたとえ"/>
    <hyperlink ref="B17" location="'03_４設定の比較'!A1" display="03_４設定の比較"/>
    <hyperlink ref="B18" location="'04_歴史と背景'!A1" display="04_歴史と背景"/>
    <hyperlink ref="B19" location="'05_JTAのしくみ'!A1" display="05_JTAのしくみ"/>
    <hyperlink ref="B20" location="'06_XAのしくみと限界'!A1" display="06_XAのしくみと限界"/>
    <hyperlink ref="B21" location="'07_SQLタイムアウト'!A1" display="07_SQLタイムアウト"/>
    <hyperlink ref="B22" location="'08_set-txの優先順位'!A1" display="08_set-txの優先順位"/>
    <hyperlink ref="B23" location="'09_実効値早見'!A1" display="09_実効値早見"/>
    <hyperlink ref="B24" location="'10_2PCと期限の境界'!A1" display="10_2PCと期限の境界"/>
    <hyperlink ref="B25" location="'11_時系列シナリオ'!A1" display="11_時系列シナリオ"/>
    <hyperlink ref="B26" location="'12_Auroraとロック'!A1" display="12_Auroraとロック"/>
    <hyperlink ref="B27" location="'13_整合性の設計'!A1" display="13_整合性の設計"/>
    <hyperlink ref="B28" location="'14_設定値の候補'!A1" display="14_設定値の候補"/>
    <hyperlink ref="B29" location="'15_設定診断器'!A1" display="15_設定診断器"/>
    <hyperlink ref="B30" location="'16_設定確認とCLI'!A1" display="16_設定確認とCLI"/>
    <hyperlink ref="B31" location="'17_Java実装例'!A1" display="17_Java実装例"/>
    <hyperlink ref="B32" location="'18_障害対応と監視'!A1" display="18_障害対応と監視"/>
    <hyperlink ref="B33" location="'19_検証ケース'!A1" display="19_検証ケース"/>
    <hyperlink ref="B34" location="'20_FAQと用語'!A1" display="20_FAQと用語"/>
    <hyperlink ref="B35" location="'21_出典と確認範囲'!A1" display="21_出典と確認範囲"/>
    <hyperlink ref="B36" location="'22_動作イメージ'!A1" display="22_動作イメージ"/>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2.xml><?xml version="1.0" encoding="utf-8"?>
<worksheet xmlns="http://schemas.openxmlformats.org/spreadsheetml/2006/main" xmlns:r="http://schemas.openxmlformats.org/officeDocument/2006/relationships">
  <sheetPr>
    <tabColor rgb="FF18344B"/>
    <pageSetUpPr fitToPage="1"/>
  </sheetPr>
  <dimension ref="A1:F17"/>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46</v>
      </c>
      <c r="B1" s="2"/>
      <c r="C1" s="2"/>
      <c r="D1" s="2"/>
      <c r="E1" s="2"/>
      <c r="F1" s="2"/>
    </row>
    <row r="2" spans="1:6" ht="37" customHeight="1">
      <c r="A2" s="3" t="s">
        <v>47</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84" customHeight="1">
      <c r="A6" s="6">
        <v>1</v>
      </c>
      <c r="B6" s="7" t="s">
        <v>120</v>
      </c>
      <c r="C6" s="8" t="s">
        <v>121</v>
      </c>
      <c r="D6" s="9" t="s">
        <v>122</v>
      </c>
      <c r="E6" s="10" t="s">
        <v>123</v>
      </c>
      <c r="F6" s="11" t="s">
        <v>124</v>
      </c>
    </row>
    <row r="7" spans="1:6" ht="84" customHeight="1">
      <c r="A7" s="12">
        <v>2</v>
      </c>
      <c r="B7" s="13" t="s">
        <v>125</v>
      </c>
      <c r="C7" s="14" t="s">
        <v>126</v>
      </c>
      <c r="D7" s="1" t="s">
        <v>127</v>
      </c>
      <c r="E7" s="15" t="s">
        <v>128</v>
      </c>
      <c r="F7" s="16" t="s">
        <v>129</v>
      </c>
    </row>
    <row r="8" spans="1:6" ht="101.5" customHeight="1">
      <c r="A8" s="6">
        <v>3</v>
      </c>
      <c r="B8" s="7" t="s">
        <v>130</v>
      </c>
      <c r="C8" s="8" t="s">
        <v>131</v>
      </c>
      <c r="D8" s="9" t="s">
        <v>132</v>
      </c>
      <c r="E8" s="10" t="s">
        <v>133</v>
      </c>
      <c r="F8" s="11" t="s">
        <v>134</v>
      </c>
    </row>
    <row r="9" spans="1:6" ht="101.5" customHeight="1">
      <c r="A9" s="12">
        <v>4</v>
      </c>
      <c r="B9" s="13" t="s">
        <v>135</v>
      </c>
      <c r="C9" s="14" t="s">
        <v>136</v>
      </c>
      <c r="D9" s="1" t="s">
        <v>137</v>
      </c>
      <c r="E9" s="15" t="s">
        <v>138</v>
      </c>
      <c r="F9" s="16" t="s">
        <v>24</v>
      </c>
    </row>
    <row r="10" spans="1:6" ht="101.5" customHeight="1">
      <c r="A10" s="6">
        <v>5</v>
      </c>
      <c r="B10" s="7" t="s">
        <v>139</v>
      </c>
      <c r="C10" s="8" t="s">
        <v>140</v>
      </c>
      <c r="D10" s="9" t="s">
        <v>141</v>
      </c>
      <c r="E10" s="10" t="s">
        <v>142</v>
      </c>
      <c r="F10" s="11" t="s">
        <v>143</v>
      </c>
    </row>
    <row r="11" spans="1:6" ht="119" customHeight="1">
      <c r="A11" s="12">
        <v>6</v>
      </c>
      <c r="B11" s="13" t="s">
        <v>144</v>
      </c>
      <c r="C11" s="14" t="s">
        <v>145</v>
      </c>
      <c r="D11" s="1" t="s">
        <v>146</v>
      </c>
      <c r="E11" s="15" t="s">
        <v>147</v>
      </c>
      <c r="F11" s="16" t="s">
        <v>148</v>
      </c>
    </row>
    <row r="12" spans="1:6" ht="101.5" customHeight="1">
      <c r="A12" s="6">
        <v>7</v>
      </c>
      <c r="B12" s="7" t="s">
        <v>149</v>
      </c>
      <c r="C12" s="8" t="s">
        <v>150</v>
      </c>
      <c r="D12" s="9" t="s">
        <v>151</v>
      </c>
      <c r="E12" s="10" t="s">
        <v>152</v>
      </c>
      <c r="F12" s="11" t="s">
        <v>153</v>
      </c>
    </row>
    <row r="13" spans="1:6" ht="101.5" customHeight="1">
      <c r="A13" s="12">
        <v>8</v>
      </c>
      <c r="B13" s="13" t="s">
        <v>154</v>
      </c>
      <c r="C13" s="14" t="s">
        <v>155</v>
      </c>
      <c r="D13" s="1" t="s">
        <v>156</v>
      </c>
      <c r="E13" s="15" t="s">
        <v>157</v>
      </c>
      <c r="F13" s="16" t="s">
        <v>158</v>
      </c>
    </row>
    <row r="14" spans="1:6" ht="84" customHeight="1">
      <c r="A14" s="6">
        <v>9</v>
      </c>
      <c r="B14" s="7" t="s">
        <v>159</v>
      </c>
      <c r="C14" s="8" t="s">
        <v>160</v>
      </c>
      <c r="D14" s="9" t="s">
        <v>161</v>
      </c>
      <c r="E14" s="10" t="s">
        <v>162</v>
      </c>
      <c r="F14" s="11" t="s">
        <v>163</v>
      </c>
    </row>
    <row r="15" spans="1:6" ht="84" customHeight="1">
      <c r="A15" s="12">
        <v>10</v>
      </c>
      <c r="B15" s="13" t="s">
        <v>164</v>
      </c>
      <c r="C15" s="14" t="s">
        <v>165</v>
      </c>
      <c r="D15" s="1" t="s">
        <v>166</v>
      </c>
      <c r="E15" s="15" t="s">
        <v>167</v>
      </c>
      <c r="F15" s="16" t="s">
        <v>168</v>
      </c>
    </row>
    <row r="16" spans="1:6" ht="101.5" customHeight="1">
      <c r="A16" s="6">
        <v>11</v>
      </c>
      <c r="B16" s="7" t="s">
        <v>169</v>
      </c>
      <c r="C16" s="8" t="s">
        <v>170</v>
      </c>
      <c r="D16" s="9" t="s">
        <v>171</v>
      </c>
      <c r="E16" s="10" t="s">
        <v>172</v>
      </c>
      <c r="F16" s="11" t="s">
        <v>173</v>
      </c>
    </row>
    <row r="17" spans="1:6" ht="66.5" customHeight="1">
      <c r="A17" s="12">
        <v>12</v>
      </c>
      <c r="B17" s="13" t="s">
        <v>174</v>
      </c>
      <c r="C17" s="14" t="s">
        <v>175</v>
      </c>
      <c r="D17" s="1" t="s">
        <v>176</v>
      </c>
      <c r="E17" s="15" t="s">
        <v>177</v>
      </c>
      <c r="F17" s="16" t="s">
        <v>178</v>
      </c>
    </row>
  </sheetData>
  <autoFilter ref="A5:F17"/>
  <mergeCells count="3">
    <mergeCell ref="A1:F1"/>
    <mergeCell ref="A2:F2"/>
    <mergeCell ref="B3:F3"/>
  </mergeCells>
  <hyperlinks>
    <hyperlink ref="A3" location="'00_はじめに'!A1" display="目次"/>
    <hyperlink ref="F6" location="'21_出典と確認範囲'!A6" tooltip="先頭の出典へ移動。全IDは出典一覧で確認。" display="S01 S18 S19"/>
    <hyperlink ref="F7" location="'21_出典と確認範囲'!A24" tooltip="先頭の出典へ移動。全IDは出典一覧で確認。" display="S19 S20 S21 S24"/>
    <hyperlink ref="F8" location="'21_出典と確認範囲'!A24" tooltip="先頭の出典へ移動。全IDは出典一覧で確認。" display="S19 S20 S21 S25"/>
    <hyperlink ref="F9" location="'21_出典と確認範囲'!A6" tooltip="先頭の出典へ移動。全IDは出典一覧で確認。" display="S01 S28 S33"/>
    <hyperlink ref="F10" location="'21_出典と確認範囲'!A13" tooltip="先頭の出典へ移動。全IDは出典一覧で確認。" display="S08 S10 S17"/>
    <hyperlink ref="F11" location="'21_出典と確認範囲'!A10" tooltip="先頭の出典へ移動。全IDは出典一覧で確認。" display="S05 S06 S07"/>
    <hyperlink ref="F12" location="'21_出典と確認範囲'!A6" tooltip="先頭の出典へ移動。全IDは出典一覧で確認。" display="S01 S05 S10 S15"/>
    <hyperlink ref="F13" location="'21_出典と確認範囲'!A6" tooltip="先頭の出典へ移動。全IDは出典一覧で確認。" display="S01 S13 S29"/>
    <hyperlink ref="F14" location="'21_出典と確認範囲'!A10" tooltip="先頭の出典へ移動。全IDは出典一覧で確認。" display="S05 S19 S21 / 設計例"/>
    <hyperlink ref="F15" location="'21_出典と確認範囲'!A31" tooltip="先頭の出典へ移動。全IDは出典一覧で確認。" display="S26 S27"/>
    <hyperlink ref="F16" location="'21_出典と確認範囲'!A9" tooltip="先頭の出典へ移動。全IDは出典一覧で確認。" display="S04 S31 S32 S38"/>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3.xml><?xml version="1.0" encoding="utf-8"?>
<worksheet xmlns="http://schemas.openxmlformats.org/spreadsheetml/2006/main" xmlns:r="http://schemas.openxmlformats.org/officeDocument/2006/relationships">
  <sheetPr>
    <tabColor rgb="FF006E78"/>
    <pageSetUpPr fitToPage="1"/>
  </sheetPr>
  <dimension ref="A1:F21"/>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50</v>
      </c>
      <c r="B1" s="2"/>
      <c r="C1" s="2"/>
      <c r="D1" s="2"/>
      <c r="E1" s="2"/>
      <c r="F1" s="2"/>
    </row>
    <row r="2" spans="1:6" ht="37" customHeight="1">
      <c r="A2" s="3" t="s">
        <v>51</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66.5" customHeight="1">
      <c r="A6" s="6">
        <v>1</v>
      </c>
      <c r="B6" s="7" t="s">
        <v>179</v>
      </c>
      <c r="C6" s="8" t="s">
        <v>180</v>
      </c>
      <c r="D6" s="9" t="s">
        <v>181</v>
      </c>
      <c r="E6" s="10" t="s">
        <v>182</v>
      </c>
      <c r="F6" s="11" t="s">
        <v>183</v>
      </c>
    </row>
    <row r="7" spans="1:6" ht="66.5" customHeight="1">
      <c r="A7" s="12">
        <v>2</v>
      </c>
      <c r="B7" s="13" t="s">
        <v>184</v>
      </c>
      <c r="C7" s="14" t="s">
        <v>185</v>
      </c>
      <c r="D7" s="1" t="s">
        <v>186</v>
      </c>
      <c r="E7" s="15" t="s">
        <v>187</v>
      </c>
      <c r="F7" s="16" t="s">
        <v>188</v>
      </c>
    </row>
    <row r="8" spans="1:6" ht="66.5" customHeight="1">
      <c r="A8" s="6">
        <v>3</v>
      </c>
      <c r="B8" s="7" t="s">
        <v>189</v>
      </c>
      <c r="C8" s="8" t="s">
        <v>190</v>
      </c>
      <c r="D8" s="9" t="s">
        <v>191</v>
      </c>
      <c r="E8" s="10" t="s">
        <v>192</v>
      </c>
      <c r="F8" s="11" t="s">
        <v>193</v>
      </c>
    </row>
    <row r="9" spans="1:6" ht="66.5" customHeight="1">
      <c r="A9" s="12">
        <v>4</v>
      </c>
      <c r="B9" s="13" t="s">
        <v>194</v>
      </c>
      <c r="C9" s="14" t="s">
        <v>195</v>
      </c>
      <c r="D9" s="1" t="s">
        <v>196</v>
      </c>
      <c r="E9" s="15" t="s">
        <v>197</v>
      </c>
      <c r="F9" s="16" t="s">
        <v>198</v>
      </c>
    </row>
    <row r="10" spans="1:6" ht="66.5" customHeight="1">
      <c r="A10" s="6">
        <v>5</v>
      </c>
      <c r="B10" s="7" t="s">
        <v>199</v>
      </c>
      <c r="C10" s="8" t="s">
        <v>200</v>
      </c>
      <c r="D10" s="9" t="s">
        <v>201</v>
      </c>
      <c r="E10" s="10" t="s">
        <v>202</v>
      </c>
      <c r="F10" s="11" t="s">
        <v>203</v>
      </c>
    </row>
    <row r="11" spans="1:6" ht="66.5" customHeight="1">
      <c r="A11" s="12">
        <v>6</v>
      </c>
      <c r="B11" s="13" t="s">
        <v>204</v>
      </c>
      <c r="C11" s="14" t="s">
        <v>205</v>
      </c>
      <c r="D11" s="1" t="s">
        <v>206</v>
      </c>
      <c r="E11" s="15" t="s">
        <v>207</v>
      </c>
      <c r="F11" s="16" t="s">
        <v>208</v>
      </c>
    </row>
    <row r="12" spans="1:6" ht="66.5" customHeight="1">
      <c r="A12" s="6">
        <v>7</v>
      </c>
      <c r="B12" s="7" t="s">
        <v>209</v>
      </c>
      <c r="C12" s="8" t="s">
        <v>210</v>
      </c>
      <c r="D12" s="9" t="s">
        <v>211</v>
      </c>
      <c r="E12" s="10" t="s">
        <v>212</v>
      </c>
      <c r="F12" s="11" t="s">
        <v>213</v>
      </c>
    </row>
    <row r="13" spans="1:6" ht="66.5" customHeight="1">
      <c r="A13" s="12">
        <v>8</v>
      </c>
      <c r="B13" s="13" t="s">
        <v>214</v>
      </c>
      <c r="C13" s="14" t="s">
        <v>215</v>
      </c>
      <c r="D13" s="1" t="s">
        <v>216</v>
      </c>
      <c r="E13" s="15" t="s">
        <v>217</v>
      </c>
      <c r="F13" s="16" t="s">
        <v>218</v>
      </c>
    </row>
    <row r="14" spans="1:6" ht="66.5" customHeight="1">
      <c r="A14" s="6">
        <v>9</v>
      </c>
      <c r="B14" s="7" t="s">
        <v>219</v>
      </c>
      <c r="C14" s="8" t="s">
        <v>220</v>
      </c>
      <c r="D14" s="9" t="s">
        <v>221</v>
      </c>
      <c r="E14" s="10" t="s">
        <v>222</v>
      </c>
      <c r="F14" s="11" t="s">
        <v>223</v>
      </c>
    </row>
    <row r="15" spans="1:6" ht="66.5" customHeight="1">
      <c r="A15" s="12">
        <v>10</v>
      </c>
      <c r="B15" s="13" t="s">
        <v>224</v>
      </c>
      <c r="C15" s="14" t="s">
        <v>225</v>
      </c>
      <c r="D15" s="1" t="s">
        <v>226</v>
      </c>
      <c r="E15" s="15" t="s">
        <v>227</v>
      </c>
      <c r="F15" s="16" t="s">
        <v>228</v>
      </c>
    </row>
    <row r="16" spans="1:6" ht="66.5" customHeight="1">
      <c r="A16" s="6">
        <v>11</v>
      </c>
      <c r="B16" s="7" t="s">
        <v>229</v>
      </c>
      <c r="C16" s="8" t="s">
        <v>230</v>
      </c>
      <c r="D16" s="9" t="s">
        <v>231</v>
      </c>
      <c r="E16" s="10" t="s">
        <v>232</v>
      </c>
      <c r="F16" s="11" t="s">
        <v>233</v>
      </c>
    </row>
    <row r="17" spans="1:6" ht="66.5" customHeight="1">
      <c r="A17" s="12">
        <v>12</v>
      </c>
      <c r="B17" s="13" t="s">
        <v>234</v>
      </c>
      <c r="C17" s="14" t="s">
        <v>235</v>
      </c>
      <c r="D17" s="1" t="s">
        <v>236</v>
      </c>
      <c r="E17" s="15" t="s">
        <v>237</v>
      </c>
      <c r="F17" s="16" t="s">
        <v>238</v>
      </c>
    </row>
    <row r="18" spans="1:6" ht="66.5" customHeight="1">
      <c r="A18" s="6">
        <v>13</v>
      </c>
      <c r="B18" s="7" t="s">
        <v>239</v>
      </c>
      <c r="C18" s="8" t="s">
        <v>240</v>
      </c>
      <c r="D18" s="9" t="s">
        <v>241</v>
      </c>
      <c r="E18" s="10" t="s">
        <v>242</v>
      </c>
      <c r="F18" s="11" t="s">
        <v>243</v>
      </c>
    </row>
    <row r="19" spans="1:6" ht="66.5" customHeight="1">
      <c r="A19" s="12">
        <v>14</v>
      </c>
      <c r="B19" s="13" t="s">
        <v>244</v>
      </c>
      <c r="C19" s="14" t="s">
        <v>245</v>
      </c>
      <c r="D19" s="1" t="s">
        <v>246</v>
      </c>
      <c r="E19" s="15" t="s">
        <v>247</v>
      </c>
      <c r="F19" s="16" t="s">
        <v>248</v>
      </c>
    </row>
    <row r="20" spans="1:6" ht="66.5" customHeight="1">
      <c r="A20" s="6">
        <v>15</v>
      </c>
      <c r="B20" s="7" t="s">
        <v>249</v>
      </c>
      <c r="C20" s="8" t="s">
        <v>250</v>
      </c>
      <c r="D20" s="9" t="s">
        <v>251</v>
      </c>
      <c r="E20" s="10" t="s">
        <v>252</v>
      </c>
      <c r="F20" s="11" t="s">
        <v>253</v>
      </c>
    </row>
    <row r="21" spans="1:6" ht="66.5" customHeight="1">
      <c r="A21" s="12">
        <v>16</v>
      </c>
      <c r="B21" s="13" t="s">
        <v>254</v>
      </c>
      <c r="C21" s="14" t="s">
        <v>255</v>
      </c>
      <c r="D21" s="1" t="s">
        <v>256</v>
      </c>
      <c r="E21" s="15" t="s">
        <v>257</v>
      </c>
      <c r="F21" s="16" t="s">
        <v>258</v>
      </c>
    </row>
  </sheetData>
  <autoFilter ref="A5:F21"/>
  <mergeCells count="3">
    <mergeCell ref="A1:F1"/>
    <mergeCell ref="A2:F2"/>
    <mergeCell ref="B3:F3"/>
  </mergeCells>
  <hyperlinks>
    <hyperlink ref="A3" location="'00_はじめに'!A1" display="目次"/>
    <hyperlink ref="F6" location="'21_出典と確認範囲'!A23" tooltip="先頭の出典へ移動。全IDは出典一覧で確認。" display="S18 S21 S25"/>
    <hyperlink ref="F7" location="'21_出典と確認範囲'!A23" tooltip="先頭の出典へ移動。全IDは出典一覧で確認。" display="S18 S25"/>
    <hyperlink ref="F8" location="'21_出典と確認範囲'!A7" tooltip="先頭の出典へ移動。全IDは出典一覧で確認。" display="S02 S18"/>
    <hyperlink ref="F9" location="'21_出典と確認範囲'!A24" tooltip="先頭の出典へ移動。全IDは出典一覧で確認。" display="S19 S24 S25"/>
    <hyperlink ref="F10" location="'21_出典と確認範囲'!A15" tooltip="先頭の出典へ移動。全IDは出典一覧で確認。" display="S10 S17 S27"/>
    <hyperlink ref="F11" location="'21_出典と確認範囲'!A21" tooltip="先頭の出典へ移動。全IDは出典一覧で確認。" display="S16 / 設計例"/>
    <hyperlink ref="F12" location="'21_出典と確認範囲'!A34" tooltip="先頭の出典へ移動。全IDは出典一覧で確認。" display="S29 S30"/>
    <hyperlink ref="F13" location="'21_出典と確認範囲'!A23" tooltip="先頭の出典へ移動。全IDは出典一覧で確認。" display="S18 S22 / 設計判断"/>
    <hyperlink ref="F14" location="'21_出典と確認範囲'!A17" tooltip="先頭の出典へ移動。全IDは出典一覧で確認。" display="S12 S16"/>
    <hyperlink ref="F15" location="'21_出典と確認範囲'!A10" tooltip="先頭の出典へ移動。全IDは出典一覧で確認。" display="S05 S06"/>
    <hyperlink ref="F16" location="'21_出典と確認範囲'!A10" tooltip="先頭の出典へ移動。全IDは出典一覧で確認。" display="S05 S07"/>
    <hyperlink ref="F17" location="'21_出典と確認範囲'!A30" tooltip="先頭の出典へ移動。全IDは出典一覧で確認。" display="S25 S27"/>
    <hyperlink ref="F18" location="'21_出典と確認範囲'!A26" tooltip="先頭の出典へ移動。全IDは出典一覧で確認。" display="S21 S25"/>
    <hyperlink ref="F19" location="'21_出典と確認範囲'!A16" tooltip="先頭の出典へ移動。全IDは出典一覧で確認。" display="S11 S19 S21"/>
    <hyperlink ref="F20" location="'21_出典と確認範囲'!A30" tooltip="先頭の出典へ移動。全IDは出典一覧で確認。" display="S25 S26 S27"/>
    <hyperlink ref="F21" location="'21_出典と確認範囲'!A6" tooltip="先頭の出典へ移動。全IDは出典一覧で確認。" display="S01 S03 S24"/>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4.xml><?xml version="1.0" encoding="utf-8"?>
<worksheet xmlns="http://schemas.openxmlformats.org/spreadsheetml/2006/main" xmlns:r="http://schemas.openxmlformats.org/officeDocument/2006/relationships">
  <sheetPr>
    <tabColor rgb="FF006E78"/>
    <pageSetUpPr fitToPage="1"/>
  </sheetPr>
  <dimension ref="A1:F16"/>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53</v>
      </c>
      <c r="B1" s="2"/>
      <c r="C1" s="2"/>
      <c r="D1" s="2"/>
      <c r="E1" s="2"/>
      <c r="F1" s="2"/>
    </row>
    <row r="2" spans="1:6" ht="37" customHeight="1">
      <c r="A2" s="3" t="s">
        <v>54</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101.5" customHeight="1">
      <c r="A6" s="6">
        <v>1</v>
      </c>
      <c r="B6" s="7" t="s">
        <v>259</v>
      </c>
      <c r="C6" s="8" t="s">
        <v>260</v>
      </c>
      <c r="D6" s="9" t="s">
        <v>261</v>
      </c>
      <c r="E6" s="10" t="s">
        <v>262</v>
      </c>
      <c r="F6" s="11" t="s">
        <v>124</v>
      </c>
    </row>
    <row r="7" spans="1:6" ht="84" customHeight="1">
      <c r="A7" s="12">
        <v>2</v>
      </c>
      <c r="B7" s="13" t="s">
        <v>263</v>
      </c>
      <c r="C7" s="14" t="s">
        <v>264</v>
      </c>
      <c r="D7" s="1" t="s">
        <v>265</v>
      </c>
      <c r="E7" s="15" t="s">
        <v>266</v>
      </c>
      <c r="F7" s="16" t="s">
        <v>267</v>
      </c>
    </row>
    <row r="8" spans="1:6" ht="84" customHeight="1">
      <c r="A8" s="6">
        <v>3</v>
      </c>
      <c r="B8" s="7" t="s">
        <v>268</v>
      </c>
      <c r="C8" s="8" t="s">
        <v>269</v>
      </c>
      <c r="D8" s="9" t="s">
        <v>270</v>
      </c>
      <c r="E8" s="10" t="s">
        <v>271</v>
      </c>
      <c r="F8" s="11" t="s">
        <v>272</v>
      </c>
    </row>
    <row r="9" spans="1:6" ht="66.5" customHeight="1">
      <c r="A9" s="12">
        <v>4</v>
      </c>
      <c r="B9" s="13" t="s">
        <v>273</v>
      </c>
      <c r="C9" s="14" t="s">
        <v>274</v>
      </c>
      <c r="D9" s="1" t="s">
        <v>275</v>
      </c>
      <c r="E9" s="15" t="s">
        <v>276</v>
      </c>
      <c r="F9" s="16" t="s">
        <v>277</v>
      </c>
    </row>
    <row r="10" spans="1:6" ht="84" customHeight="1">
      <c r="A10" s="6">
        <v>5</v>
      </c>
      <c r="B10" s="7" t="s">
        <v>278</v>
      </c>
      <c r="C10" s="8" t="s">
        <v>279</v>
      </c>
      <c r="D10" s="9" t="s">
        <v>280</v>
      </c>
      <c r="E10" s="10" t="s">
        <v>281</v>
      </c>
      <c r="F10" s="11" t="s">
        <v>282</v>
      </c>
    </row>
    <row r="11" spans="1:6" ht="101.5" customHeight="1">
      <c r="A11" s="12">
        <v>6</v>
      </c>
      <c r="B11" s="13" t="s">
        <v>283</v>
      </c>
      <c r="C11" s="14" t="s">
        <v>284</v>
      </c>
      <c r="D11" s="1" t="s">
        <v>285</v>
      </c>
      <c r="E11" s="15" t="s">
        <v>286</v>
      </c>
      <c r="F11" s="16" t="s">
        <v>287</v>
      </c>
    </row>
    <row r="12" spans="1:6" ht="84" customHeight="1">
      <c r="A12" s="6">
        <v>7</v>
      </c>
      <c r="B12" s="7" t="s">
        <v>288</v>
      </c>
      <c r="C12" s="8" t="s">
        <v>289</v>
      </c>
      <c r="D12" s="9" t="s">
        <v>290</v>
      </c>
      <c r="E12" s="10" t="s">
        <v>291</v>
      </c>
      <c r="F12" s="11" t="s">
        <v>292</v>
      </c>
    </row>
    <row r="13" spans="1:6" ht="84" customHeight="1">
      <c r="A13" s="12">
        <v>8</v>
      </c>
      <c r="B13" s="13" t="s">
        <v>293</v>
      </c>
      <c r="C13" s="14" t="s">
        <v>294</v>
      </c>
      <c r="D13" s="1" t="s">
        <v>295</v>
      </c>
      <c r="E13" s="15" t="s">
        <v>296</v>
      </c>
      <c r="F13" s="16" t="s">
        <v>297</v>
      </c>
    </row>
    <row r="14" spans="1:6" ht="84" customHeight="1">
      <c r="A14" s="6">
        <v>9</v>
      </c>
      <c r="B14" s="7" t="s">
        <v>298</v>
      </c>
      <c r="C14" s="8" t="s">
        <v>299</v>
      </c>
      <c r="D14" s="9" t="s">
        <v>300</v>
      </c>
      <c r="E14" s="10" t="s">
        <v>301</v>
      </c>
      <c r="F14" s="11" t="s">
        <v>302</v>
      </c>
    </row>
    <row r="15" spans="1:6" ht="66.5" customHeight="1">
      <c r="A15" s="12">
        <v>10</v>
      </c>
      <c r="B15" s="13" t="s">
        <v>303</v>
      </c>
      <c r="C15" s="14" t="s">
        <v>304</v>
      </c>
      <c r="D15" s="1" t="s">
        <v>305</v>
      </c>
      <c r="E15" s="15" t="s">
        <v>306</v>
      </c>
      <c r="F15" s="16" t="s">
        <v>307</v>
      </c>
    </row>
    <row r="16" spans="1:6" ht="66.5" customHeight="1">
      <c r="A16" s="6">
        <v>11</v>
      </c>
      <c r="B16" s="7" t="s">
        <v>308</v>
      </c>
      <c r="C16" s="8" t="s">
        <v>309</v>
      </c>
      <c r="D16" s="9" t="s">
        <v>310</v>
      </c>
      <c r="E16" s="10" t="s">
        <v>311</v>
      </c>
      <c r="F16" s="11" t="s">
        <v>312</v>
      </c>
    </row>
  </sheetData>
  <autoFilter ref="A5:F16"/>
  <mergeCells count="3">
    <mergeCell ref="A1:F1"/>
    <mergeCell ref="A2:F2"/>
    <mergeCell ref="B3:F3"/>
  </mergeCells>
  <hyperlinks>
    <hyperlink ref="A3" location="'00_はじめに'!A1" display="目次"/>
    <hyperlink ref="F6" location="'21_出典と確認範囲'!A6" tooltip="先頭の出典へ移動。全IDは出典一覧で確認。" display="S01 S18 S19"/>
    <hyperlink ref="F7" location="'21_出典と確認範囲'!A6" tooltip="先頭の出典へ移動。全IDは出典一覧で確認。" display="S01 S08 S10 S17"/>
    <hyperlink ref="F8" location="'21_出典と確認範囲'!A6" tooltip="先頭の出典へ移動。全IDは出典一覧で確認。" display="S01 S05 S09 S16"/>
    <hyperlink ref="F9" location="'21_出典と確認範囲'!A6" tooltip="先頭の出典へ移動。全IDは出典一覧で確認。" display="S01 S05 S06 S09"/>
    <hyperlink ref="F10" location="'21_出典と確認範囲'!A18" tooltip="先頭の出典へ移動。全IDは出典一覧で確認。" display="S13 S16 S18 S29 / 設計判断"/>
    <hyperlink ref="F11" location="'21_出典と確認範囲'!A23" tooltip="先頭の出典へ移動。全IDは出典一覧で確認。" display="S18"/>
    <hyperlink ref="F12" location="'21_出典と確認範囲'!A6" tooltip="先頭の出典へ移動。全IDは出典一覧で確認。" display="S01 S18"/>
    <hyperlink ref="F13" location="'21_出典と確認範囲'!A10" tooltip="先頭の出典へ移動。全IDは出典一覧で確認。" display="S05 S07 S16"/>
    <hyperlink ref="F14" location="'21_出典と確認範囲'!A13" tooltip="先頭の出典へ移動。全IDは出典一覧で確認。" display="S08 S10 S17 S23"/>
    <hyperlink ref="F15" location="'21_出典と確認範囲'!A6" tooltip="先頭の出典へ移動。全IDは出典一覧で確認。" display="S01 S13"/>
    <hyperlink ref="F16" location="'21_出典と確認範囲'!A6" tooltip="先頭の出典へ移動。全IDは出典一覧で確認。" display="S01"/>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5.xml><?xml version="1.0" encoding="utf-8"?>
<worksheet xmlns="http://schemas.openxmlformats.org/spreadsheetml/2006/main" xmlns:r="http://schemas.openxmlformats.org/officeDocument/2006/relationships">
  <sheetPr>
    <tabColor rgb="FF006E78"/>
    <pageSetUpPr fitToPage="1"/>
  </sheetPr>
  <dimension ref="A1:F18"/>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56</v>
      </c>
      <c r="B1" s="2"/>
      <c r="C1" s="2"/>
      <c r="D1" s="2"/>
      <c r="E1" s="2"/>
      <c r="F1" s="2"/>
    </row>
    <row r="2" spans="1:6" ht="37" customHeight="1">
      <c r="A2" s="3" t="s">
        <v>57</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84" customHeight="1">
      <c r="A6" s="6">
        <v>1</v>
      </c>
      <c r="B6" s="7" t="s">
        <v>313</v>
      </c>
      <c r="C6" s="8" t="s">
        <v>314</v>
      </c>
      <c r="D6" s="9" t="s">
        <v>315</v>
      </c>
      <c r="E6" s="10" t="s">
        <v>316</v>
      </c>
      <c r="F6" s="11" t="s">
        <v>317</v>
      </c>
    </row>
    <row r="7" spans="1:6" ht="84" customHeight="1">
      <c r="A7" s="12">
        <v>2</v>
      </c>
      <c r="B7" s="13" t="s">
        <v>318</v>
      </c>
      <c r="C7" s="14" t="s">
        <v>319</v>
      </c>
      <c r="D7" s="1" t="s">
        <v>320</v>
      </c>
      <c r="E7" s="15" t="s">
        <v>321</v>
      </c>
      <c r="F7" s="16" t="s">
        <v>317</v>
      </c>
    </row>
    <row r="8" spans="1:6" ht="84" customHeight="1">
      <c r="A8" s="6">
        <v>3</v>
      </c>
      <c r="B8" s="7" t="s">
        <v>322</v>
      </c>
      <c r="C8" s="8" t="s">
        <v>323</v>
      </c>
      <c r="D8" s="9" t="s">
        <v>324</v>
      </c>
      <c r="E8" s="10" t="s">
        <v>325</v>
      </c>
      <c r="F8" s="11" t="s">
        <v>326</v>
      </c>
    </row>
    <row r="9" spans="1:6" ht="84" customHeight="1">
      <c r="A9" s="12">
        <v>4</v>
      </c>
      <c r="B9" s="13" t="s">
        <v>327</v>
      </c>
      <c r="C9" s="14" t="s">
        <v>328</v>
      </c>
      <c r="D9" s="1" t="s">
        <v>329</v>
      </c>
      <c r="E9" s="15" t="s">
        <v>330</v>
      </c>
      <c r="F9" s="16" t="s">
        <v>331</v>
      </c>
    </row>
    <row r="10" spans="1:6" ht="84" customHeight="1">
      <c r="A10" s="6">
        <v>5</v>
      </c>
      <c r="B10" s="7" t="s">
        <v>332</v>
      </c>
      <c r="C10" s="8" t="s">
        <v>333</v>
      </c>
      <c r="D10" s="9" t="s">
        <v>334</v>
      </c>
      <c r="E10" s="10" t="s">
        <v>335</v>
      </c>
      <c r="F10" s="11" t="s">
        <v>287</v>
      </c>
    </row>
    <row r="11" spans="1:6" ht="66.5" customHeight="1">
      <c r="A11" s="12">
        <v>6</v>
      </c>
      <c r="B11" s="13" t="s">
        <v>336</v>
      </c>
      <c r="C11" s="14" t="s">
        <v>337</v>
      </c>
      <c r="D11" s="1" t="s">
        <v>338</v>
      </c>
      <c r="E11" s="15" t="s">
        <v>339</v>
      </c>
      <c r="F11" s="16" t="s">
        <v>340</v>
      </c>
    </row>
    <row r="12" spans="1:6" ht="84" customHeight="1">
      <c r="A12" s="6">
        <v>7</v>
      </c>
      <c r="B12" s="7" t="s">
        <v>341</v>
      </c>
      <c r="C12" s="8" t="s">
        <v>342</v>
      </c>
      <c r="D12" s="9" t="s">
        <v>343</v>
      </c>
      <c r="E12" s="10" t="s">
        <v>344</v>
      </c>
      <c r="F12" s="11" t="s">
        <v>345</v>
      </c>
    </row>
    <row r="13" spans="1:6" ht="84" customHeight="1">
      <c r="A13" s="12">
        <v>8</v>
      </c>
      <c r="B13" s="13" t="s">
        <v>346</v>
      </c>
      <c r="C13" s="14" t="s">
        <v>347</v>
      </c>
      <c r="D13" s="1" t="s">
        <v>348</v>
      </c>
      <c r="E13" s="15" t="s">
        <v>349</v>
      </c>
      <c r="F13" s="16" t="s">
        <v>350</v>
      </c>
    </row>
    <row r="14" spans="1:6" ht="84" customHeight="1">
      <c r="A14" s="6">
        <v>9</v>
      </c>
      <c r="B14" s="7" t="s">
        <v>351</v>
      </c>
      <c r="C14" s="8" t="s">
        <v>352</v>
      </c>
      <c r="D14" s="9" t="s">
        <v>353</v>
      </c>
      <c r="E14" s="10" t="s">
        <v>354</v>
      </c>
      <c r="F14" s="11" t="s">
        <v>355</v>
      </c>
    </row>
    <row r="15" spans="1:6" ht="84" customHeight="1">
      <c r="A15" s="12">
        <v>10</v>
      </c>
      <c r="B15" s="13" t="s">
        <v>356</v>
      </c>
      <c r="C15" s="14" t="s">
        <v>357</v>
      </c>
      <c r="D15" s="1" t="s">
        <v>358</v>
      </c>
      <c r="E15" s="15" t="s">
        <v>359</v>
      </c>
      <c r="F15" s="16" t="s">
        <v>360</v>
      </c>
    </row>
    <row r="16" spans="1:6" ht="101.5" customHeight="1">
      <c r="A16" s="6">
        <v>11</v>
      </c>
      <c r="B16" s="7" t="s">
        <v>361</v>
      </c>
      <c r="C16" s="8" t="s">
        <v>362</v>
      </c>
      <c r="D16" s="9" t="s">
        <v>363</v>
      </c>
      <c r="E16" s="10" t="s">
        <v>364</v>
      </c>
      <c r="F16" s="11" t="s">
        <v>365</v>
      </c>
    </row>
    <row r="17" spans="1:6" ht="66.5" customHeight="1">
      <c r="A17" s="12">
        <v>12</v>
      </c>
      <c r="B17" s="13" t="s">
        <v>366</v>
      </c>
      <c r="C17" s="14" t="s">
        <v>367</v>
      </c>
      <c r="D17" s="1" t="s">
        <v>368</v>
      </c>
      <c r="E17" s="15" t="s">
        <v>369</v>
      </c>
      <c r="F17" s="16" t="s">
        <v>370</v>
      </c>
    </row>
    <row r="18" spans="1:6" ht="84" customHeight="1">
      <c r="A18" s="6">
        <v>13</v>
      </c>
      <c r="B18" s="7" t="s">
        <v>371</v>
      </c>
      <c r="C18" s="8" t="s">
        <v>372</v>
      </c>
      <c r="D18" s="9" t="s">
        <v>373</v>
      </c>
      <c r="E18" s="10" t="s">
        <v>374</v>
      </c>
      <c r="F18" s="11" t="s">
        <v>375</v>
      </c>
    </row>
  </sheetData>
  <autoFilter ref="A5:F18"/>
  <mergeCells count="3">
    <mergeCell ref="A1:F1"/>
    <mergeCell ref="A2:F2"/>
    <mergeCell ref="B3:F3"/>
  </mergeCells>
  <hyperlinks>
    <hyperlink ref="A3" location="'00_はじめに'!A1" display="目次"/>
    <hyperlink ref="F6" location="'21_出典と確認範囲'!A30" tooltip="先頭の出典へ移動。全IDは出典一覧で確認。" display="S25"/>
    <hyperlink ref="F7" location="'21_出典と確認範囲'!A30" tooltip="先頭の出典へ移動。全IDは出典一覧で確認。" display="S25"/>
    <hyperlink ref="F8" location="'21_出典と確認範囲'!A22" tooltip="先頭の出典へ移動。全IDは出典一覧で確認。" display="S17 S35"/>
    <hyperlink ref="F9" location="'21_出典と確認範囲'!A21" tooltip="先頭の出典へ移動。全IDは出典一覧で確認。" display="S16"/>
    <hyperlink ref="F10" location="'21_出典と確認範囲'!A23" tooltip="先頭の出典へ移動。全IDは出典一覧で確認。" display="S18"/>
    <hyperlink ref="F11" location="'21_出典と確認範囲'!A8" tooltip="先頭の出典へ移動。全IDは出典一覧で確認。" display="S03 S07 S08 S37"/>
    <hyperlink ref="F12" location="'21_出典と確認範囲'!A10" tooltip="先頭の出典へ移動。全IDは出典一覧で確認。" display="S05 S06 S37 / 背景の解釈"/>
    <hyperlink ref="F13" location="'21_出典と確認範囲'!A22" tooltip="先頭の出典へ移動。全IDは出典一覧で確認。" display="S17 S23 S25"/>
    <hyperlink ref="F14" location="'21_出典と確認範囲'!A29" tooltip="先頭の出典へ移動。全IDは出典一覧で確認。" display="S24 S25 S39"/>
    <hyperlink ref="F15" location="'21_出典と確認範囲'!A16" tooltip="先頭の出典へ移動。全IDは出典一覧で確認。" display="S11 S14 S15"/>
    <hyperlink ref="F16" location="'21_出典と確認範囲'!A22" tooltip="先頭の出典へ移動。全IDは出典一覧で確認。" display="S17 S18 S36"/>
    <hyperlink ref="F17" location="'21_出典と確認範囲'!A36" tooltip="先頭の出典へ移動。全IDは出典一覧で確認。" display="S31 S32"/>
    <hyperlink ref="F18" location="'21_出典と確認範囲'!A38" tooltip="先頭の出典へ移動。全IDは出典一覧で確認。" display="S33 S34"/>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6.xml><?xml version="1.0" encoding="utf-8"?>
<worksheet xmlns="http://schemas.openxmlformats.org/spreadsheetml/2006/main" xmlns:r="http://schemas.openxmlformats.org/officeDocument/2006/relationships">
  <sheetPr>
    <tabColor rgb="FF006E78"/>
    <pageSetUpPr fitToPage="1"/>
  </sheetPr>
  <dimension ref="A1:F19"/>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59</v>
      </c>
      <c r="B1" s="2"/>
      <c r="C1" s="2"/>
      <c r="D1" s="2"/>
      <c r="E1" s="2"/>
      <c r="F1" s="2"/>
    </row>
    <row r="2" spans="1:6" ht="37" customHeight="1">
      <c r="A2" s="3" t="s">
        <v>60</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84" customHeight="1">
      <c r="A6" s="6">
        <v>1</v>
      </c>
      <c r="B6" s="7" t="s">
        <v>376</v>
      </c>
      <c r="C6" s="8" t="s">
        <v>377</v>
      </c>
      <c r="D6" s="9" t="s">
        <v>378</v>
      </c>
      <c r="E6" s="10" t="s">
        <v>379</v>
      </c>
      <c r="F6" s="11" t="s">
        <v>380</v>
      </c>
    </row>
    <row r="7" spans="1:6" ht="84" customHeight="1">
      <c r="A7" s="12">
        <v>2</v>
      </c>
      <c r="B7" s="13" t="s">
        <v>381</v>
      </c>
      <c r="C7" s="14" t="s">
        <v>382</v>
      </c>
      <c r="D7" s="1" t="s">
        <v>383</v>
      </c>
      <c r="E7" s="15" t="s">
        <v>384</v>
      </c>
      <c r="F7" s="16" t="s">
        <v>385</v>
      </c>
    </row>
    <row r="8" spans="1:6" ht="84" customHeight="1">
      <c r="A8" s="6">
        <v>3</v>
      </c>
      <c r="B8" s="7" t="s">
        <v>386</v>
      </c>
      <c r="C8" s="8" t="s">
        <v>387</v>
      </c>
      <c r="D8" s="9" t="s">
        <v>388</v>
      </c>
      <c r="E8" s="10" t="s">
        <v>389</v>
      </c>
      <c r="F8" s="11" t="s">
        <v>390</v>
      </c>
    </row>
    <row r="9" spans="1:6" ht="84" customHeight="1">
      <c r="A9" s="12">
        <v>4</v>
      </c>
      <c r="B9" s="13" t="s">
        <v>391</v>
      </c>
      <c r="C9" s="14" t="s">
        <v>392</v>
      </c>
      <c r="D9" s="1" t="s">
        <v>393</v>
      </c>
      <c r="E9" s="15" t="s">
        <v>394</v>
      </c>
      <c r="F9" s="16" t="s">
        <v>287</v>
      </c>
    </row>
    <row r="10" spans="1:6" ht="101.5" customHeight="1">
      <c r="A10" s="6">
        <v>5</v>
      </c>
      <c r="B10" s="7" t="s">
        <v>395</v>
      </c>
      <c r="C10" s="8" t="s">
        <v>396</v>
      </c>
      <c r="D10" s="9" t="s">
        <v>397</v>
      </c>
      <c r="E10" s="10" t="s">
        <v>398</v>
      </c>
      <c r="F10" s="11" t="s">
        <v>287</v>
      </c>
    </row>
    <row r="11" spans="1:6" ht="84" customHeight="1">
      <c r="A11" s="12">
        <v>6</v>
      </c>
      <c r="B11" s="13" t="s">
        <v>399</v>
      </c>
      <c r="C11" s="14" t="s">
        <v>400</v>
      </c>
      <c r="D11" s="1" t="s">
        <v>401</v>
      </c>
      <c r="E11" s="15" t="s">
        <v>402</v>
      </c>
      <c r="F11" s="16" t="s">
        <v>380</v>
      </c>
    </row>
    <row r="12" spans="1:6" ht="84" customHeight="1">
      <c r="A12" s="6">
        <v>7</v>
      </c>
      <c r="B12" s="7" t="s">
        <v>403</v>
      </c>
      <c r="C12" s="8" t="s">
        <v>404</v>
      </c>
      <c r="D12" s="9" t="s">
        <v>405</v>
      </c>
      <c r="E12" s="10" t="s">
        <v>406</v>
      </c>
      <c r="F12" s="11" t="s">
        <v>380</v>
      </c>
    </row>
    <row r="13" spans="1:6" ht="84" customHeight="1">
      <c r="A13" s="12">
        <v>8</v>
      </c>
      <c r="B13" s="13" t="s">
        <v>407</v>
      </c>
      <c r="C13" s="14" t="s">
        <v>408</v>
      </c>
      <c r="D13" s="1" t="s">
        <v>409</v>
      </c>
      <c r="E13" s="15" t="s">
        <v>410</v>
      </c>
      <c r="F13" s="16" t="s">
        <v>411</v>
      </c>
    </row>
    <row r="14" spans="1:6" ht="84" customHeight="1">
      <c r="A14" s="6">
        <v>9</v>
      </c>
      <c r="B14" s="7" t="s">
        <v>412</v>
      </c>
      <c r="C14" s="8" t="s">
        <v>413</v>
      </c>
      <c r="D14" s="9" t="s">
        <v>414</v>
      </c>
      <c r="E14" s="10" t="s">
        <v>415</v>
      </c>
      <c r="F14" s="11" t="s">
        <v>416</v>
      </c>
    </row>
    <row r="15" spans="1:6" ht="66.5" customHeight="1">
      <c r="A15" s="12">
        <v>10</v>
      </c>
      <c r="B15" s="13" t="s">
        <v>417</v>
      </c>
      <c r="C15" s="14" t="s">
        <v>418</v>
      </c>
      <c r="D15" s="1" t="s">
        <v>419</v>
      </c>
      <c r="E15" s="15" t="s">
        <v>420</v>
      </c>
      <c r="F15" s="16" t="s">
        <v>248</v>
      </c>
    </row>
    <row r="16" spans="1:6" ht="84" customHeight="1">
      <c r="A16" s="6">
        <v>11</v>
      </c>
      <c r="B16" s="7" t="s">
        <v>421</v>
      </c>
      <c r="C16" s="8" t="s">
        <v>422</v>
      </c>
      <c r="D16" s="9" t="s">
        <v>423</v>
      </c>
      <c r="E16" s="10" t="s">
        <v>424</v>
      </c>
      <c r="F16" s="11" t="s">
        <v>425</v>
      </c>
    </row>
    <row r="17" spans="1:6" ht="101.5" customHeight="1">
      <c r="A17" s="12">
        <v>12</v>
      </c>
      <c r="B17" s="13" t="s">
        <v>426</v>
      </c>
      <c r="C17" s="14" t="s">
        <v>427</v>
      </c>
      <c r="D17" s="1" t="s">
        <v>428</v>
      </c>
      <c r="E17" s="15" t="s">
        <v>429</v>
      </c>
      <c r="F17" s="16" t="s">
        <v>430</v>
      </c>
    </row>
    <row r="18" spans="1:6" ht="84" customHeight="1">
      <c r="A18" s="6">
        <v>13</v>
      </c>
      <c r="B18" s="7" t="s">
        <v>431</v>
      </c>
      <c r="C18" s="8" t="s">
        <v>432</v>
      </c>
      <c r="D18" s="9" t="s">
        <v>433</v>
      </c>
      <c r="E18" s="10" t="s">
        <v>434</v>
      </c>
      <c r="F18" s="11" t="s">
        <v>435</v>
      </c>
    </row>
    <row r="19" spans="1:6" ht="66.5" customHeight="1">
      <c r="A19" s="12">
        <v>14</v>
      </c>
      <c r="B19" s="13" t="s">
        <v>436</v>
      </c>
      <c r="C19" s="14" t="s">
        <v>437</v>
      </c>
      <c r="D19" s="1" t="s">
        <v>438</v>
      </c>
      <c r="E19" s="15" t="s">
        <v>439</v>
      </c>
      <c r="F19" s="16" t="s">
        <v>440</v>
      </c>
    </row>
  </sheetData>
  <autoFilter ref="A5:F19"/>
  <mergeCells count="3">
    <mergeCell ref="A1:F1"/>
    <mergeCell ref="A2:F2"/>
    <mergeCell ref="B3:F3"/>
  </mergeCells>
  <hyperlinks>
    <hyperlink ref="A3" location="'00_はじめに'!A1" display="目次"/>
    <hyperlink ref="F6" location="'21_出典と確認範囲'!A23" tooltip="先頭の出典へ移動。全IDは出典一覧で確認。" display="S18 S22"/>
    <hyperlink ref="F7" location="'21_出典と確認範囲'!A23" tooltip="先頭の出典へ移動。全IDは出典一覧で確認。" display="S18 S19 S22 / 設計判断"/>
    <hyperlink ref="F8" location="'21_出典と確認範囲'!A6" tooltip="先頭の出典へ移動。全IDは出典一覧で確認。" display="S01 / 設計判断"/>
    <hyperlink ref="F9" location="'21_出典と確認範囲'!A23" tooltip="先頭の出典へ移動。全IDは出典一覧で確認。" display="S18"/>
    <hyperlink ref="F10" location="'21_出典と確認範囲'!A23" tooltip="先頭の出典へ移動。全IDは出典一覧で確認。" display="S18"/>
    <hyperlink ref="F11" location="'21_出典と確認範囲'!A23" tooltip="先頭の出典へ移動。全IDは出典一覧で確認。" display="S18 S22"/>
    <hyperlink ref="F12" location="'21_出典と確認範囲'!A23" tooltip="先頭の出典へ移動。全IDは出典一覧で確認。" display="S18 S22"/>
    <hyperlink ref="F13" location="'21_出典と確認範囲'!A24" tooltip="先頭の出典へ移動。全IDは出典一覧で確認。" display="S19"/>
    <hyperlink ref="F14" location="'21_出典と確認範囲'!A23" tooltip="先頭の出典へ移動。全IDは出典一覧で確認。" display="S18 S19 S23"/>
    <hyperlink ref="F15" location="'21_出典と確認範囲'!A16" tooltip="先頭の出典へ移動。全IDは出典一覧で確認。" display="S11 S19 S21"/>
    <hyperlink ref="F16" location="'21_出典と確認範囲'!A25" tooltip="先頭の出典へ移動。全IDは出典一覧で確認。" display="S20 S21"/>
    <hyperlink ref="F17" location="'21_出典と確認範囲'!A24" tooltip="先頭の出典へ移動。全IDは出典一覧で確認。" display="S19 S20 S21"/>
    <hyperlink ref="F18" location="'21_出典と確認範囲'!A26" tooltip="先頭の出典へ移動。全IDは出典一覧で確認。" display="S21 S25 / 設計判断"/>
    <hyperlink ref="F19" location="'21_出典と確認範囲'!A8" tooltip="先頭の出典へ移動。全IDは出典一覧で確認。" display="S03 S29 S34 / 設計判断"/>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7.xml><?xml version="1.0" encoding="utf-8"?>
<worksheet xmlns="http://schemas.openxmlformats.org/spreadsheetml/2006/main" xmlns:r="http://schemas.openxmlformats.org/officeDocument/2006/relationships">
  <sheetPr>
    <tabColor rgb="FF006E78"/>
    <pageSetUpPr fitToPage="1"/>
  </sheetPr>
  <dimension ref="A1:F18"/>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63</v>
      </c>
      <c r="B1" s="2"/>
      <c r="C1" s="2"/>
      <c r="D1" s="2"/>
      <c r="E1" s="2"/>
      <c r="F1" s="2"/>
    </row>
    <row r="2" spans="1:6" ht="37" customHeight="1">
      <c r="A2" s="3" t="s">
        <v>64</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101.5" customHeight="1">
      <c r="A6" s="6">
        <v>1</v>
      </c>
      <c r="B6" s="7" t="s">
        <v>441</v>
      </c>
      <c r="C6" s="8" t="s">
        <v>442</v>
      </c>
      <c r="D6" s="9" t="s">
        <v>443</v>
      </c>
      <c r="E6" s="10" t="s">
        <v>444</v>
      </c>
      <c r="F6" s="11" t="s">
        <v>445</v>
      </c>
    </row>
    <row r="7" spans="1:6" ht="84" customHeight="1">
      <c r="A7" s="12">
        <v>2</v>
      </c>
      <c r="B7" s="13" t="s">
        <v>446</v>
      </c>
      <c r="C7" s="14" t="s">
        <v>447</v>
      </c>
      <c r="D7" s="1" t="s">
        <v>448</v>
      </c>
      <c r="E7" s="15" t="s">
        <v>449</v>
      </c>
      <c r="F7" s="16" t="s">
        <v>450</v>
      </c>
    </row>
    <row r="8" spans="1:6" ht="101.5" customHeight="1">
      <c r="A8" s="6">
        <v>3</v>
      </c>
      <c r="B8" s="7" t="s">
        <v>451</v>
      </c>
      <c r="C8" s="8" t="s">
        <v>452</v>
      </c>
      <c r="D8" s="9" t="s">
        <v>453</v>
      </c>
      <c r="E8" s="10" t="s">
        <v>454</v>
      </c>
      <c r="F8" s="11" t="s">
        <v>455</v>
      </c>
    </row>
    <row r="9" spans="1:6" ht="84" customHeight="1">
      <c r="A9" s="12">
        <v>4</v>
      </c>
      <c r="B9" s="13" t="s">
        <v>456</v>
      </c>
      <c r="C9" s="14" t="s">
        <v>457</v>
      </c>
      <c r="D9" s="1" t="s">
        <v>458</v>
      </c>
      <c r="E9" s="15" t="s">
        <v>459</v>
      </c>
      <c r="F9" s="16" t="s">
        <v>460</v>
      </c>
    </row>
    <row r="10" spans="1:6" ht="84" customHeight="1">
      <c r="A10" s="6">
        <v>5</v>
      </c>
      <c r="B10" s="7" t="s">
        <v>461</v>
      </c>
      <c r="C10" s="8" t="s">
        <v>462</v>
      </c>
      <c r="D10" s="9" t="s">
        <v>463</v>
      </c>
      <c r="E10" s="10" t="s">
        <v>464</v>
      </c>
      <c r="F10" s="11" t="s">
        <v>465</v>
      </c>
    </row>
    <row r="11" spans="1:6" ht="84" customHeight="1">
      <c r="A11" s="12">
        <v>6</v>
      </c>
      <c r="B11" s="13" t="s">
        <v>466</v>
      </c>
      <c r="C11" s="14" t="s">
        <v>467</v>
      </c>
      <c r="D11" s="1" t="s">
        <v>468</v>
      </c>
      <c r="E11" s="15" t="s">
        <v>469</v>
      </c>
      <c r="F11" s="16" t="s">
        <v>143</v>
      </c>
    </row>
    <row r="12" spans="1:6" ht="101.5" customHeight="1">
      <c r="A12" s="6">
        <v>7</v>
      </c>
      <c r="B12" s="7" t="s">
        <v>470</v>
      </c>
      <c r="C12" s="8" t="s">
        <v>471</v>
      </c>
      <c r="D12" s="9" t="s">
        <v>472</v>
      </c>
      <c r="E12" s="10" t="s">
        <v>473</v>
      </c>
      <c r="F12" s="11" t="s">
        <v>474</v>
      </c>
    </row>
    <row r="13" spans="1:6" ht="84" customHeight="1">
      <c r="A13" s="12">
        <v>8</v>
      </c>
      <c r="B13" s="13" t="s">
        <v>475</v>
      </c>
      <c r="C13" s="14" t="s">
        <v>476</v>
      </c>
      <c r="D13" s="1" t="s">
        <v>477</v>
      </c>
      <c r="E13" s="15" t="s">
        <v>478</v>
      </c>
      <c r="F13" s="16" t="s">
        <v>479</v>
      </c>
    </row>
    <row r="14" spans="1:6" ht="101.5" customHeight="1">
      <c r="A14" s="6">
        <v>9</v>
      </c>
      <c r="B14" s="7" t="s">
        <v>480</v>
      </c>
      <c r="C14" s="8" t="s">
        <v>481</v>
      </c>
      <c r="D14" s="9" t="s">
        <v>482</v>
      </c>
      <c r="E14" s="10" t="s">
        <v>483</v>
      </c>
      <c r="F14" s="11" t="s">
        <v>484</v>
      </c>
    </row>
    <row r="15" spans="1:6" ht="84" customHeight="1">
      <c r="A15" s="12">
        <v>10</v>
      </c>
      <c r="B15" s="13" t="s">
        <v>485</v>
      </c>
      <c r="C15" s="14" t="s">
        <v>486</v>
      </c>
      <c r="D15" s="1" t="s">
        <v>487</v>
      </c>
      <c r="E15" s="15" t="s">
        <v>488</v>
      </c>
      <c r="F15" s="16" t="s">
        <v>489</v>
      </c>
    </row>
    <row r="16" spans="1:6" ht="84" customHeight="1">
      <c r="A16" s="6">
        <v>11</v>
      </c>
      <c r="B16" s="7" t="s">
        <v>490</v>
      </c>
      <c r="C16" s="8" t="s">
        <v>491</v>
      </c>
      <c r="D16" s="9" t="s">
        <v>492</v>
      </c>
      <c r="E16" s="10" t="s">
        <v>493</v>
      </c>
      <c r="F16" s="11" t="s">
        <v>238</v>
      </c>
    </row>
    <row r="17" spans="1:6" ht="84" customHeight="1">
      <c r="A17" s="12">
        <v>12</v>
      </c>
      <c r="B17" s="13" t="s">
        <v>494</v>
      </c>
      <c r="C17" s="14" t="s">
        <v>495</v>
      </c>
      <c r="D17" s="1" t="s">
        <v>496</v>
      </c>
      <c r="E17" s="15" t="s">
        <v>497</v>
      </c>
      <c r="F17" s="16" t="s">
        <v>498</v>
      </c>
    </row>
    <row r="18" spans="1:6" ht="101.5" customHeight="1">
      <c r="A18" s="6">
        <v>13</v>
      </c>
      <c r="B18" s="7" t="s">
        <v>499</v>
      </c>
      <c r="C18" s="8" t="s">
        <v>500</v>
      </c>
      <c r="D18" s="9" t="s">
        <v>501</v>
      </c>
      <c r="E18" s="10" t="s">
        <v>502</v>
      </c>
      <c r="F18" s="11" t="s">
        <v>503</v>
      </c>
    </row>
  </sheetData>
  <autoFilter ref="A5:F18"/>
  <mergeCells count="3">
    <mergeCell ref="A1:F1"/>
    <mergeCell ref="A2:F2"/>
    <mergeCell ref="B3:F3"/>
  </mergeCells>
  <hyperlinks>
    <hyperlink ref="A3" location="'00_はじめに'!A1" display="目次"/>
    <hyperlink ref="F6" location="'21_出典と確認範囲'!A6" tooltip="先頭の出典へ移動。全IDは出典一覧で確認。" display="S01 S17 S28 S33"/>
    <hyperlink ref="F7" location="'21_出典と確認範囲'!A22" tooltip="先頭の出典へ移動。全IDは出典一覧で確認。" display="S17 S23 S27"/>
    <hyperlink ref="F8" location="'21_出典と確認範囲'!A13" tooltip="先頭の出典へ移動。全IDは出典一覧で確認。" display="S08"/>
    <hyperlink ref="F9" location="'21_出典と確認範囲'!A22" tooltip="先頭の出典へ移動。全IDは出典一覧で確認。" display="S17"/>
    <hyperlink ref="F10" location="'21_出典と確認範囲'!A15" tooltip="先頭の出典へ移動。全IDは出典一覧で確認。" display="S10"/>
    <hyperlink ref="F11" location="'21_出典と確認範囲'!A13" tooltip="先頭の出典へ移動。全IDは出典一覧で確認。" display="S08 S10 S17"/>
    <hyperlink ref="F12" location="'21_出典と確認範囲'!A15" tooltip="先頭の出典へ移動。全IDは出典一覧で確認。" display="S10 S23"/>
    <hyperlink ref="F13" location="'21_出典と確認範囲'!A22" tooltip="先頭の出典へ移動。全IDは出典一覧で確認。" display="S17 S23 S25 / 設計判断"/>
    <hyperlink ref="F14" location="'21_出典と確認範囲'!A15" tooltip="先頭の出典へ移動。全IDは出典一覧で確認。" display="S10 S13 S17"/>
    <hyperlink ref="F15" location="'21_出典と確認範囲'!A15" tooltip="先頭の出典へ移動。全IDは出典一覧で確認。" display="S10 S13"/>
    <hyperlink ref="F16" location="'21_出典と確認範囲'!A30" tooltip="先頭の出典へ移動。全IDは出典一覧で確認。" display="S25 S27"/>
    <hyperlink ref="F17" location="'21_出典と確認範囲'!A15" tooltip="先頭の出典へ移動。全IDは出典一覧で確認。" display="S10 S27"/>
    <hyperlink ref="F18" location="'21_出典と確認範囲'!A27" tooltip="先頭の出典へ移動。全IDは出典一覧で確認。" display="S22 S28"/>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8.xml><?xml version="1.0" encoding="utf-8"?>
<worksheet xmlns="http://schemas.openxmlformats.org/spreadsheetml/2006/main" xmlns:r="http://schemas.openxmlformats.org/officeDocument/2006/relationships">
  <sheetPr>
    <tabColor rgb="FF006E78"/>
    <pageSetUpPr fitToPage="1"/>
  </sheetPr>
  <dimension ref="A1:F21"/>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66</v>
      </c>
      <c r="B1" s="2"/>
      <c r="C1" s="2"/>
      <c r="D1" s="2"/>
      <c r="E1" s="2"/>
      <c r="F1" s="2"/>
    </row>
    <row r="2" spans="1:6" ht="37" customHeight="1">
      <c r="A2" s="3" t="s">
        <v>67</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101.5" customHeight="1">
      <c r="A6" s="6">
        <v>1</v>
      </c>
      <c r="B6" s="7" t="s">
        <v>504</v>
      </c>
      <c r="C6" s="8" t="s">
        <v>505</v>
      </c>
      <c r="D6" s="9" t="s">
        <v>506</v>
      </c>
      <c r="E6" s="10" t="s">
        <v>507</v>
      </c>
      <c r="F6" s="11" t="s">
        <v>508</v>
      </c>
    </row>
    <row r="7" spans="1:6" ht="66.5" customHeight="1">
      <c r="A7" s="12">
        <v>2</v>
      </c>
      <c r="B7" s="13" t="s">
        <v>509</v>
      </c>
      <c r="C7" s="14" t="s">
        <v>510</v>
      </c>
      <c r="D7" s="1" t="s">
        <v>511</v>
      </c>
      <c r="E7" s="15" t="s">
        <v>512</v>
      </c>
      <c r="F7" s="16" t="s">
        <v>513</v>
      </c>
    </row>
    <row r="8" spans="1:6" ht="84" customHeight="1">
      <c r="A8" s="6">
        <v>3</v>
      </c>
      <c r="B8" s="7" t="s">
        <v>514</v>
      </c>
      <c r="C8" s="8" t="s">
        <v>515</v>
      </c>
      <c r="D8" s="9" t="s">
        <v>516</v>
      </c>
      <c r="E8" s="10" t="s">
        <v>517</v>
      </c>
      <c r="F8" s="11" t="s">
        <v>518</v>
      </c>
    </row>
    <row r="9" spans="1:6" ht="84" customHeight="1">
      <c r="A9" s="12">
        <v>4</v>
      </c>
      <c r="B9" s="13" t="s">
        <v>519</v>
      </c>
      <c r="C9" s="14" t="s">
        <v>520</v>
      </c>
      <c r="D9" s="1" t="s">
        <v>521</v>
      </c>
      <c r="E9" s="15" t="s">
        <v>522</v>
      </c>
      <c r="F9" s="16" t="s">
        <v>523</v>
      </c>
    </row>
    <row r="10" spans="1:6" ht="84" customHeight="1">
      <c r="A10" s="6">
        <v>5</v>
      </c>
      <c r="B10" s="7" t="s">
        <v>524</v>
      </c>
      <c r="C10" s="8" t="s">
        <v>525</v>
      </c>
      <c r="D10" s="9" t="s">
        <v>526</v>
      </c>
      <c r="E10" s="10" t="s">
        <v>527</v>
      </c>
      <c r="F10" s="11" t="s">
        <v>528</v>
      </c>
    </row>
    <row r="11" spans="1:6" ht="84" customHeight="1">
      <c r="A11" s="12">
        <v>6</v>
      </c>
      <c r="B11" s="13" t="s">
        <v>529</v>
      </c>
      <c r="C11" s="14" t="s">
        <v>530</v>
      </c>
      <c r="D11" s="1" t="s">
        <v>531</v>
      </c>
      <c r="E11" s="15" t="s">
        <v>532</v>
      </c>
      <c r="F11" s="16" t="s">
        <v>533</v>
      </c>
    </row>
    <row r="12" spans="1:6" ht="84" customHeight="1">
      <c r="A12" s="6">
        <v>7</v>
      </c>
      <c r="B12" s="7" t="s">
        <v>534</v>
      </c>
      <c r="C12" s="8" t="s">
        <v>535</v>
      </c>
      <c r="D12" s="9" t="s">
        <v>536</v>
      </c>
      <c r="E12" s="10" t="s">
        <v>537</v>
      </c>
      <c r="F12" s="11" t="s">
        <v>538</v>
      </c>
    </row>
    <row r="13" spans="1:6" ht="84" customHeight="1">
      <c r="A13" s="12">
        <v>8</v>
      </c>
      <c r="B13" s="13" t="s">
        <v>539</v>
      </c>
      <c r="C13" s="14" t="s">
        <v>540</v>
      </c>
      <c r="D13" s="1" t="s">
        <v>541</v>
      </c>
      <c r="E13" s="15" t="s">
        <v>542</v>
      </c>
      <c r="F13" s="16" t="s">
        <v>543</v>
      </c>
    </row>
    <row r="14" spans="1:6" ht="84" customHeight="1">
      <c r="A14" s="6">
        <v>9</v>
      </c>
      <c r="B14" s="7" t="s">
        <v>544</v>
      </c>
      <c r="C14" s="8" t="s">
        <v>545</v>
      </c>
      <c r="D14" s="9" t="s">
        <v>546</v>
      </c>
      <c r="E14" s="10" t="s">
        <v>547</v>
      </c>
      <c r="F14" s="11" t="s">
        <v>213</v>
      </c>
    </row>
    <row r="15" spans="1:6" ht="84" customHeight="1">
      <c r="A15" s="12">
        <v>10</v>
      </c>
      <c r="B15" s="13" t="s">
        <v>548</v>
      </c>
      <c r="C15" s="14" t="s">
        <v>549</v>
      </c>
      <c r="D15" s="1" t="s">
        <v>550</v>
      </c>
      <c r="E15" s="15" t="s">
        <v>551</v>
      </c>
      <c r="F15" s="16" t="s">
        <v>552</v>
      </c>
    </row>
    <row r="16" spans="1:6" ht="84" customHeight="1">
      <c r="A16" s="6">
        <v>11</v>
      </c>
      <c r="B16" s="7" t="s">
        <v>553</v>
      </c>
      <c r="C16" s="8" t="s">
        <v>554</v>
      </c>
      <c r="D16" s="9" t="s">
        <v>555</v>
      </c>
      <c r="E16" s="10" t="s">
        <v>556</v>
      </c>
      <c r="F16" s="11" t="s">
        <v>223</v>
      </c>
    </row>
    <row r="17" spans="1:6" ht="84" customHeight="1">
      <c r="A17" s="12">
        <v>12</v>
      </c>
      <c r="B17" s="13" t="s">
        <v>557</v>
      </c>
      <c r="C17" s="14" t="s">
        <v>558</v>
      </c>
      <c r="D17" s="1" t="s">
        <v>559</v>
      </c>
      <c r="E17" s="15" t="s">
        <v>560</v>
      </c>
      <c r="F17" s="16" t="s">
        <v>223</v>
      </c>
    </row>
    <row r="18" spans="1:6" ht="84" customHeight="1">
      <c r="A18" s="6">
        <v>13</v>
      </c>
      <c r="B18" s="7" t="s">
        <v>561</v>
      </c>
      <c r="C18" s="8" t="s">
        <v>562</v>
      </c>
      <c r="D18" s="9" t="s">
        <v>563</v>
      </c>
      <c r="E18" s="10" t="s">
        <v>564</v>
      </c>
      <c r="F18" s="11" t="s">
        <v>565</v>
      </c>
    </row>
    <row r="19" spans="1:6" ht="84" customHeight="1">
      <c r="A19" s="12">
        <v>14</v>
      </c>
      <c r="B19" s="13" t="s">
        <v>566</v>
      </c>
      <c r="C19" s="14" t="s">
        <v>567</v>
      </c>
      <c r="D19" s="1" t="s">
        <v>568</v>
      </c>
      <c r="E19" s="15" t="s">
        <v>569</v>
      </c>
      <c r="F19" s="16" t="s">
        <v>570</v>
      </c>
    </row>
    <row r="20" spans="1:6" ht="84" customHeight="1">
      <c r="A20" s="6">
        <v>15</v>
      </c>
      <c r="B20" s="7" t="s">
        <v>571</v>
      </c>
      <c r="C20" s="8" t="s">
        <v>572</v>
      </c>
      <c r="D20" s="9" t="s">
        <v>573</v>
      </c>
      <c r="E20" s="10" t="s">
        <v>574</v>
      </c>
      <c r="F20" s="11" t="s">
        <v>489</v>
      </c>
    </row>
    <row r="21" spans="1:6" ht="84" customHeight="1">
      <c r="A21" s="12">
        <v>16</v>
      </c>
      <c r="B21" s="13" t="s">
        <v>575</v>
      </c>
      <c r="C21" s="14" t="s">
        <v>576</v>
      </c>
      <c r="D21" s="1" t="s">
        <v>577</v>
      </c>
      <c r="E21" s="15" t="s">
        <v>578</v>
      </c>
      <c r="F21" s="16" t="s">
        <v>233</v>
      </c>
    </row>
  </sheetData>
  <autoFilter ref="A5:F21"/>
  <mergeCells count="3">
    <mergeCell ref="A1:F1"/>
    <mergeCell ref="A2:F2"/>
    <mergeCell ref="B3:F3"/>
  </mergeCells>
  <hyperlinks>
    <hyperlink ref="A3" location="'00_はじめに'!A1" display="目次"/>
    <hyperlink ref="F6" location="'21_出典と確認範囲'!A10" tooltip="先頭の出典へ移動。全IDは出典一覧で確認。" display="S05 S12 S16"/>
    <hyperlink ref="F7" location="'21_出典と確認範囲'!A6" tooltip="先頭の出典へ移動。全IDは出典一覧で確認。" display="S01 S13 S16"/>
    <hyperlink ref="F8" location="'21_出典と確認範囲'!A16" tooltip="先頭の出典へ移動。全IDは出典一覧で確認。" display="S11 S12 S29 / 設計例"/>
    <hyperlink ref="F9" location="'21_出典と確認範囲'!A16" tooltip="先頭の出典へ移動。全IDは出典一覧で確認。" display="S11 S12"/>
    <hyperlink ref="F10" location="'21_出典と確認範囲'!A16" tooltip="先頭の出典へ移動。全IDは出典一覧で確認。" display="S11 S13"/>
    <hyperlink ref="F11" location="'21_出典と確認範囲'!A17" tooltip="先頭の出典へ移動。全IDは出典一覧で確認。" display="S12 S15"/>
    <hyperlink ref="F12" location="'21_出典と確認範囲'!A16" tooltip="先頭の出典へ移動。全IDは出典一覧で確認。" display="S11 S14 S27"/>
    <hyperlink ref="F13" location="'21_出典と確認範囲'!A21" tooltip="先頭の出典へ移動。全IDは出典一覧で確認。" display="S16 S18 S30"/>
    <hyperlink ref="F14" location="'21_出典と確認範囲'!A34" tooltip="先頭の出典へ移動。全IDは出典一覧で確認。" display="S29 S30"/>
    <hyperlink ref="F15" location="'21_出典と確認範囲'!A15" tooltip="先頭の出典へ移動。全IDは出典一覧で確認。" display="S10 S29 S30"/>
    <hyperlink ref="F16" location="'21_出典と確認範囲'!A17" tooltip="先頭の出典へ移動。全IDは出典一覧で確認。" display="S12 S16"/>
    <hyperlink ref="F17" location="'21_出典と確認範囲'!A17" tooltip="先頭の出典へ移動。全IDは出典一覧で確認。" display="S12 S16"/>
    <hyperlink ref="F18" location="'21_出典と確認範囲'!A21" tooltip="先頭の出典へ移動。全IDは出典一覧で確認。" display="S16 / 未指定ORMの確認事項"/>
    <hyperlink ref="F19" location="'21_出典と確認範囲'!A18" tooltip="先頭の出典へ移動。全IDは出典一覧で確認。" display="S13 S33"/>
    <hyperlink ref="F20" location="'21_出典と確認範囲'!A15" tooltip="先頭の出典へ移動。全IDは出典一覧で確認。" display="S10 S13"/>
    <hyperlink ref="F21" location="'21_出典と確認範囲'!A10" tooltip="先頭の出典へ移動。全IDは出典一覧で確認。" display="S05 S07"/>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9.xml><?xml version="1.0" encoding="utf-8"?>
<worksheet xmlns="http://schemas.openxmlformats.org/spreadsheetml/2006/main" xmlns:r="http://schemas.openxmlformats.org/officeDocument/2006/relationships">
  <sheetPr>
    <tabColor rgb="FF006E78"/>
    <pageSetUpPr fitToPage="1"/>
  </sheetPr>
  <dimension ref="A1:F19"/>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69</v>
      </c>
      <c r="B1" s="2"/>
      <c r="C1" s="2"/>
      <c r="D1" s="2"/>
      <c r="E1" s="2"/>
      <c r="F1" s="2"/>
    </row>
    <row r="2" spans="1:6" ht="37" customHeight="1">
      <c r="A2" s="3" t="s">
        <v>70</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84" customHeight="1">
      <c r="A6" s="6">
        <v>1</v>
      </c>
      <c r="B6" s="7" t="s">
        <v>579</v>
      </c>
      <c r="C6" s="8" t="s">
        <v>580</v>
      </c>
      <c r="D6" s="9" t="s">
        <v>581</v>
      </c>
      <c r="E6" s="10" t="s">
        <v>582</v>
      </c>
      <c r="F6" s="11" t="s">
        <v>148</v>
      </c>
    </row>
    <row r="7" spans="1:6" ht="66.5" customHeight="1">
      <c r="A7" s="12">
        <v>2</v>
      </c>
      <c r="B7" s="13" t="s">
        <v>583</v>
      </c>
      <c r="C7" s="14" t="s">
        <v>584</v>
      </c>
      <c r="D7" s="1" t="s">
        <v>585</v>
      </c>
      <c r="E7" s="15" t="s">
        <v>586</v>
      </c>
      <c r="F7" s="16" t="s">
        <v>587</v>
      </c>
    </row>
    <row r="8" spans="1:6" ht="66.5" customHeight="1">
      <c r="A8" s="6">
        <v>3</v>
      </c>
      <c r="B8" s="7" t="s">
        <v>588</v>
      </c>
      <c r="C8" s="8" t="s">
        <v>589</v>
      </c>
      <c r="D8" s="9" t="s">
        <v>590</v>
      </c>
      <c r="E8" s="10" t="s">
        <v>591</v>
      </c>
      <c r="F8" s="11" t="s">
        <v>233</v>
      </c>
    </row>
    <row r="9" spans="1:6" ht="66.5" customHeight="1">
      <c r="A9" s="12">
        <v>4</v>
      </c>
      <c r="B9" s="13" t="s">
        <v>592</v>
      </c>
      <c r="C9" s="14" t="s">
        <v>593</v>
      </c>
      <c r="D9" s="1" t="s">
        <v>594</v>
      </c>
      <c r="E9" s="15" t="s">
        <v>595</v>
      </c>
      <c r="F9" s="16" t="s">
        <v>596</v>
      </c>
    </row>
    <row r="10" spans="1:6" ht="66.5" customHeight="1">
      <c r="A10" s="6">
        <v>5</v>
      </c>
      <c r="B10" s="7" t="s">
        <v>597</v>
      </c>
      <c r="C10" s="8" t="s">
        <v>598</v>
      </c>
      <c r="D10" s="9" t="s">
        <v>599</v>
      </c>
      <c r="E10" s="10" t="s">
        <v>600</v>
      </c>
      <c r="F10" s="11" t="s">
        <v>233</v>
      </c>
    </row>
    <row r="11" spans="1:6" ht="66.5" customHeight="1">
      <c r="A11" s="12">
        <v>6</v>
      </c>
      <c r="B11" s="13" t="s">
        <v>601</v>
      </c>
      <c r="C11" s="14" t="s">
        <v>602</v>
      </c>
      <c r="D11" s="1" t="s">
        <v>603</v>
      </c>
      <c r="E11" s="15" t="s">
        <v>604</v>
      </c>
      <c r="F11" s="16" t="s">
        <v>228</v>
      </c>
    </row>
    <row r="12" spans="1:6" ht="101.5" customHeight="1">
      <c r="A12" s="6">
        <v>7</v>
      </c>
      <c r="B12" s="7" t="s">
        <v>605</v>
      </c>
      <c r="C12" s="8" t="s">
        <v>606</v>
      </c>
      <c r="D12" s="9" t="s">
        <v>607</v>
      </c>
      <c r="E12" s="10" t="s">
        <v>608</v>
      </c>
      <c r="F12" s="11" t="s">
        <v>609</v>
      </c>
    </row>
    <row r="13" spans="1:6" ht="66.5" customHeight="1">
      <c r="A13" s="12">
        <v>8</v>
      </c>
      <c r="B13" s="13" t="s">
        <v>610</v>
      </c>
      <c r="C13" s="14" t="s">
        <v>611</v>
      </c>
      <c r="D13" s="1" t="s">
        <v>612</v>
      </c>
      <c r="E13" s="15" t="s">
        <v>613</v>
      </c>
      <c r="F13" s="16" t="s">
        <v>614</v>
      </c>
    </row>
    <row r="14" spans="1:6" ht="66.5" customHeight="1">
      <c r="A14" s="6">
        <v>9</v>
      </c>
      <c r="B14" s="7" t="s">
        <v>615</v>
      </c>
      <c r="C14" s="8" t="s">
        <v>616</v>
      </c>
      <c r="D14" s="9" t="s">
        <v>617</v>
      </c>
      <c r="E14" s="10" t="s">
        <v>618</v>
      </c>
      <c r="F14" s="11" t="s">
        <v>619</v>
      </c>
    </row>
    <row r="15" spans="1:6" ht="84" customHeight="1">
      <c r="A15" s="12">
        <v>10</v>
      </c>
      <c r="B15" s="13" t="s">
        <v>620</v>
      </c>
      <c r="C15" s="14" t="s">
        <v>621</v>
      </c>
      <c r="D15" s="1" t="s">
        <v>622</v>
      </c>
      <c r="E15" s="15" t="s">
        <v>623</v>
      </c>
      <c r="F15" s="16" t="s">
        <v>624</v>
      </c>
    </row>
    <row r="16" spans="1:6" ht="66.5" customHeight="1">
      <c r="A16" s="6">
        <v>11</v>
      </c>
      <c r="B16" s="7" t="s">
        <v>625</v>
      </c>
      <c r="C16" s="8" t="s">
        <v>626</v>
      </c>
      <c r="D16" s="9" t="s">
        <v>627</v>
      </c>
      <c r="E16" s="10" t="s">
        <v>628</v>
      </c>
      <c r="F16" s="11" t="s">
        <v>629</v>
      </c>
    </row>
    <row r="17" spans="1:6" ht="84" customHeight="1">
      <c r="A17" s="12">
        <v>12</v>
      </c>
      <c r="B17" s="13" t="s">
        <v>630</v>
      </c>
      <c r="C17" s="14" t="s">
        <v>631</v>
      </c>
      <c r="D17" s="1" t="s">
        <v>632</v>
      </c>
      <c r="E17" s="15" t="s">
        <v>633</v>
      </c>
      <c r="F17" s="16" t="s">
        <v>233</v>
      </c>
    </row>
    <row r="18" spans="1:6" ht="101.5" customHeight="1">
      <c r="A18" s="6">
        <v>13</v>
      </c>
      <c r="B18" s="7" t="s">
        <v>634</v>
      </c>
      <c r="C18" s="8" t="s">
        <v>635</v>
      </c>
      <c r="D18" s="9" t="s">
        <v>636</v>
      </c>
      <c r="E18" s="10" t="s">
        <v>637</v>
      </c>
      <c r="F18" s="11" t="s">
        <v>638</v>
      </c>
    </row>
    <row r="19" spans="1:6" ht="66.5" customHeight="1">
      <c r="A19" s="12">
        <v>14</v>
      </c>
      <c r="B19" s="13" t="s">
        <v>639</v>
      </c>
      <c r="C19" s="14" t="s">
        <v>640</v>
      </c>
      <c r="D19" s="1" t="s">
        <v>641</v>
      </c>
      <c r="E19" s="15" t="s">
        <v>642</v>
      </c>
      <c r="F19" s="16" t="s">
        <v>629</v>
      </c>
    </row>
  </sheetData>
  <autoFilter ref="A5:F19"/>
  <mergeCells count="3">
    <mergeCell ref="A1:F1"/>
    <mergeCell ref="A2:F2"/>
    <mergeCell ref="B3:F3"/>
  </mergeCells>
  <hyperlinks>
    <hyperlink ref="A3" location="'00_はじめに'!A1" display="目次"/>
    <hyperlink ref="F6" location="'21_出典と確認範囲'!A10" tooltip="先頭の出典へ移動。全IDは出典一覧で確認。" display="S05 S06 S07"/>
    <hyperlink ref="F7" location="'21_出典と確認範囲'!A10" tooltip="先頭の出典へ移動。全IDは出典一覧で確認。" display="S05 S19 / 設計例"/>
    <hyperlink ref="F8" location="'21_出典と確認範囲'!A10" tooltip="先頭の出典へ移動。全IDは出典一覧で確認。" display="S05 S07"/>
    <hyperlink ref="F9" location="'21_出典と確認範囲'!A10" tooltip="先頭の出典へ移動。全IDは出典一覧で確認。" display="S05"/>
    <hyperlink ref="F10" location="'21_出典と確認範囲'!A10" tooltip="先頭の出典へ移動。全IDは出典一覧で確認。" display="S05 S07"/>
    <hyperlink ref="F11" location="'21_出典と確認範囲'!A10" tooltip="先頭の出典へ移動。全IDは出典一覧で確認。" display="S05 S06"/>
    <hyperlink ref="F12" location="'21_出典と確認範囲'!A11" tooltip="先頭の出典へ移動。全IDは出典一覧で確認。" display="S06 S07"/>
    <hyperlink ref="F13" location="'21_出典と確認範囲'!A11" tooltip="先頭の出典へ移動。全IDは出典一覧で確認。" display="S06 S08 S16"/>
    <hyperlink ref="F14" location="'21_出典と確認範囲'!A11" tooltip="先頭の出典へ移動。全IDは出典一覧で確認。" display="S06 / 旧版と現版の区別"/>
    <hyperlink ref="F15" location="'21_出典と確認範囲'!A12" tooltip="先頭の出典へ移動。全IDは出典一覧で確認。" display="S07 S12 S19"/>
    <hyperlink ref="F16" location="'21_出典と確認範囲'!A10" tooltip="先頭の出典へ移動。全IDは出典一覧で確認。" display="S05 / 設計判断"/>
    <hyperlink ref="F17" location="'21_出典と確認範囲'!A10" tooltip="先頭の出典へ移動。全IDは出典一覧で確認。" display="S05 S07"/>
    <hyperlink ref="F18" location="'21_出典と確認範囲'!A10" tooltip="先頭の出典へ移動。全IDは出典一覧で確認。" display="S05 S07 S11"/>
    <hyperlink ref="F19" location="'21_出典と確認範囲'!A10" tooltip="先頭の出典へ移動。全IDは出典一覧で確認。" display="S05 / 設計判断"/>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10.xml><?xml version="1.0" encoding="utf-8"?>
<worksheet xmlns="http://schemas.openxmlformats.org/spreadsheetml/2006/main" xmlns:r="http://schemas.openxmlformats.org/officeDocument/2006/relationships">
  <sheetPr>
    <tabColor rgb="FF006E78"/>
    <pageSetUpPr fitToPage="1"/>
  </sheetPr>
  <dimension ref="A1:H25"/>
  <sheetViews>
    <sheetView showGridLines="0" zoomScale="90" zoomScaleNormal="90"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10.7109375" style="1" customWidth="1"/>
    <col min="3" max="3" width="12.7109375" style="1" customWidth="1"/>
    <col min="4" max="5" width="15.7109375" style="1" customWidth="1"/>
    <col min="6" max="7" width="16.7109375" style="1" customWidth="1"/>
    <col min="8" max="8" width="68.7109375" style="1" customWidth="1"/>
  </cols>
  <sheetData>
    <row r="1" spans="1:8" ht="45" customHeight="1">
      <c r="A1" s="2" t="s">
        <v>643</v>
      </c>
      <c r="B1" s="2"/>
      <c r="C1" s="2"/>
      <c r="D1" s="2"/>
      <c r="E1" s="2"/>
      <c r="F1" s="2"/>
      <c r="G1" s="2"/>
      <c r="H1" s="2"/>
    </row>
    <row r="2" spans="1:8" ht="37" customHeight="1">
      <c r="A2" s="3" t="s">
        <v>644</v>
      </c>
      <c r="B2" s="3"/>
      <c r="C2" s="3"/>
      <c r="D2" s="3"/>
      <c r="E2" s="3"/>
      <c r="F2" s="3"/>
      <c r="G2" s="3"/>
      <c r="H2" s="3"/>
    </row>
    <row r="3" spans="1:8" ht="29" customHeight="1">
      <c r="A3" s="4" t="s">
        <v>2</v>
      </c>
      <c r="B3" s="3" t="s">
        <v>3</v>
      </c>
      <c r="C3" s="3"/>
      <c r="D3" s="3"/>
      <c r="E3" s="3"/>
      <c r="F3" s="3"/>
      <c r="G3" s="3"/>
      <c r="H3" s="3"/>
    </row>
    <row r="5" spans="1:8" ht="48" customHeight="1">
      <c r="A5" s="5" t="s">
        <v>645</v>
      </c>
      <c r="B5" s="5" t="s">
        <v>646</v>
      </c>
      <c r="C5" s="5" t="s">
        <v>647</v>
      </c>
      <c r="D5" s="5" t="s">
        <v>648</v>
      </c>
      <c r="E5" s="5" t="s">
        <v>649</v>
      </c>
      <c r="F5" s="5" t="s">
        <v>650</v>
      </c>
      <c r="G5" s="5" t="s">
        <v>651</v>
      </c>
      <c r="H5" s="5" t="s">
        <v>652</v>
      </c>
    </row>
    <row r="6" spans="1:8" ht="38" customHeight="1">
      <c r="A6" s="7" t="s">
        <v>653</v>
      </c>
      <c r="B6" s="6" t="s">
        <v>654</v>
      </c>
      <c r="C6" s="6" t="s">
        <v>654</v>
      </c>
      <c r="D6" s="6">
        <v>50</v>
      </c>
      <c r="E6" s="6">
        <v>10</v>
      </c>
      <c r="F6" s="6">
        <v>0</v>
      </c>
      <c r="G6" s="19">
        <v>50</v>
      </c>
      <c r="H6" s="9" t="s">
        <v>655</v>
      </c>
    </row>
    <row r="7" spans="1:8" ht="38" customHeight="1">
      <c r="A7" s="13" t="s">
        <v>656</v>
      </c>
      <c r="B7" s="12" t="s">
        <v>654</v>
      </c>
      <c r="C7" s="12" t="s">
        <v>654</v>
      </c>
      <c r="D7" s="12">
        <v>50</v>
      </c>
      <c r="E7" s="12">
        <v>10</v>
      </c>
      <c r="F7" s="12">
        <v>10</v>
      </c>
      <c r="G7" s="19">
        <v>10</v>
      </c>
      <c r="H7" s="1" t="s">
        <v>657</v>
      </c>
    </row>
    <row r="8" spans="1:8" ht="38" customHeight="1">
      <c r="A8" s="7" t="s">
        <v>658</v>
      </c>
      <c r="B8" s="6" t="s">
        <v>654</v>
      </c>
      <c r="C8" s="6" t="s">
        <v>654</v>
      </c>
      <c r="D8" s="6">
        <v>4</v>
      </c>
      <c r="E8" s="6">
        <v>10</v>
      </c>
      <c r="F8" s="6">
        <v>10</v>
      </c>
      <c r="G8" s="19">
        <v>4</v>
      </c>
      <c r="H8" s="9" t="s">
        <v>659</v>
      </c>
    </row>
    <row r="9" spans="1:8" ht="38" customHeight="1">
      <c r="A9" s="13" t="s">
        <v>660</v>
      </c>
      <c r="B9" s="12" t="s">
        <v>654</v>
      </c>
      <c r="C9" s="12" t="s">
        <v>654</v>
      </c>
      <c r="D9" s="12">
        <v>4</v>
      </c>
      <c r="E9" s="12">
        <v>10</v>
      </c>
      <c r="F9" s="12">
        <v>0</v>
      </c>
      <c r="G9" s="19">
        <v>4</v>
      </c>
      <c r="H9" s="1" t="s">
        <v>661</v>
      </c>
    </row>
    <row r="10" spans="1:8" ht="38" customHeight="1">
      <c r="A10" s="7" t="s">
        <v>662</v>
      </c>
      <c r="B10" s="6" t="s">
        <v>654</v>
      </c>
      <c r="C10" s="6" t="s">
        <v>654</v>
      </c>
      <c r="D10" s="6">
        <v>2.3</v>
      </c>
      <c r="E10" s="6">
        <v>10</v>
      </c>
      <c r="F10" s="6">
        <v>10</v>
      </c>
      <c r="G10" s="19">
        <v>3</v>
      </c>
      <c r="H10" s="9" t="s">
        <v>663</v>
      </c>
    </row>
    <row r="11" spans="1:8" ht="38" customHeight="1">
      <c r="A11" s="13" t="s">
        <v>664</v>
      </c>
      <c r="B11" s="12" t="s">
        <v>654</v>
      </c>
      <c r="C11" s="12" t="s">
        <v>654</v>
      </c>
      <c r="D11" s="12">
        <v>0.2</v>
      </c>
      <c r="E11" s="12">
        <v>10</v>
      </c>
      <c r="F11" s="12">
        <v>10</v>
      </c>
      <c r="G11" s="19">
        <v>1</v>
      </c>
      <c r="H11" s="1" t="s">
        <v>665</v>
      </c>
    </row>
    <row r="12" spans="1:8" ht="38" customHeight="1">
      <c r="A12" s="7" t="s">
        <v>666</v>
      </c>
      <c r="B12" s="6" t="s">
        <v>654</v>
      </c>
      <c r="C12" s="6" t="s">
        <v>654</v>
      </c>
      <c r="D12" s="6">
        <v>0</v>
      </c>
      <c r="E12" s="6">
        <v>10</v>
      </c>
      <c r="F12" s="6">
        <v>0</v>
      </c>
      <c r="G12" s="19" t="s">
        <v>667</v>
      </c>
      <c r="H12" s="9" t="s">
        <v>668</v>
      </c>
    </row>
    <row r="13" spans="1:8" ht="38" customHeight="1">
      <c r="A13" s="13" t="s">
        <v>669</v>
      </c>
      <c r="B13" s="12" t="s">
        <v>654</v>
      </c>
      <c r="C13" s="12" t="s">
        <v>670</v>
      </c>
      <c r="D13" s="12">
        <v>2</v>
      </c>
      <c r="E13" s="12">
        <v>10</v>
      </c>
      <c r="F13" s="12">
        <v>0</v>
      </c>
      <c r="G13" s="19">
        <v>10</v>
      </c>
      <c r="H13" s="1" t="s">
        <v>671</v>
      </c>
    </row>
    <row r="14" spans="1:8" ht="38" customHeight="1">
      <c r="A14" s="7" t="s">
        <v>672</v>
      </c>
      <c r="B14" s="6" t="s">
        <v>654</v>
      </c>
      <c r="C14" s="6" t="s">
        <v>670</v>
      </c>
      <c r="D14" s="6">
        <v>50</v>
      </c>
      <c r="E14" s="6">
        <v>10</v>
      </c>
      <c r="F14" s="6">
        <v>20</v>
      </c>
      <c r="G14" s="19">
        <v>20</v>
      </c>
      <c r="H14" s="9" t="s">
        <v>673</v>
      </c>
    </row>
    <row r="15" spans="1:8" ht="38" customHeight="1">
      <c r="A15" s="13" t="s">
        <v>674</v>
      </c>
      <c r="B15" s="12" t="s">
        <v>670</v>
      </c>
      <c r="C15" s="12" t="s">
        <v>654</v>
      </c>
      <c r="D15" s="12">
        <v>0</v>
      </c>
      <c r="E15" s="12">
        <v>10</v>
      </c>
      <c r="F15" s="12">
        <v>0</v>
      </c>
      <c r="G15" s="19">
        <v>10</v>
      </c>
      <c r="H15" s="1" t="s">
        <v>675</v>
      </c>
    </row>
    <row r="16" spans="1:8" ht="38" customHeight="1">
      <c r="A16" s="7" t="s">
        <v>676</v>
      </c>
      <c r="B16" s="6" t="s">
        <v>670</v>
      </c>
      <c r="C16" s="6" t="s">
        <v>654</v>
      </c>
      <c r="D16" s="6">
        <v>0</v>
      </c>
      <c r="E16" s="6">
        <v>10</v>
      </c>
      <c r="F16" s="6">
        <v>8</v>
      </c>
      <c r="G16" s="19">
        <v>8</v>
      </c>
      <c r="H16" s="9" t="s">
        <v>677</v>
      </c>
    </row>
    <row r="17" spans="1:8" ht="38" customHeight="1">
      <c r="A17" s="13" t="s">
        <v>678</v>
      </c>
      <c r="B17" s="12" t="s">
        <v>670</v>
      </c>
      <c r="C17" s="12" t="s">
        <v>670</v>
      </c>
      <c r="D17" s="12">
        <v>0</v>
      </c>
      <c r="E17" s="12">
        <v>0</v>
      </c>
      <c r="F17" s="12">
        <v>0</v>
      </c>
      <c r="G17" s="19">
        <v>0</v>
      </c>
      <c r="H17" s="1" t="s">
        <v>679</v>
      </c>
    </row>
    <row r="18" spans="1:8" ht="38" customHeight="1">
      <c r="A18" s="7" t="s">
        <v>680</v>
      </c>
      <c r="B18" s="6" t="s">
        <v>654</v>
      </c>
      <c r="C18" s="6" t="s">
        <v>654</v>
      </c>
      <c r="D18" s="6">
        <v>50</v>
      </c>
      <c r="E18" s="6">
        <v>0</v>
      </c>
      <c r="F18" s="6">
        <v>0</v>
      </c>
      <c r="G18" s="19">
        <v>50</v>
      </c>
      <c r="H18" s="9" t="s">
        <v>681</v>
      </c>
    </row>
    <row r="19" spans="1:8" ht="38" customHeight="1">
      <c r="A19" s="13" t="s">
        <v>682</v>
      </c>
      <c r="B19" s="12" t="s">
        <v>654</v>
      </c>
      <c r="C19" s="12" t="s">
        <v>670</v>
      </c>
      <c r="D19" s="12">
        <v>50</v>
      </c>
      <c r="E19" s="12">
        <v>0</v>
      </c>
      <c r="F19" s="12">
        <v>10</v>
      </c>
      <c r="G19" s="19">
        <v>10</v>
      </c>
      <c r="H19" s="1" t="s">
        <v>683</v>
      </c>
    </row>
    <row r="21" spans="1:8" ht="38" customHeight="1">
      <c r="A21" s="20" t="s">
        <v>684</v>
      </c>
      <c r="B21" s="20"/>
      <c r="C21" s="20"/>
      <c r="D21" s="20"/>
      <c r="E21" s="20"/>
      <c r="F21" s="20"/>
      <c r="G21" s="20"/>
      <c r="H21" s="20"/>
    </row>
    <row r="22" spans="1:8" ht="38" customHeight="1">
      <c r="A22" s="20" t="s">
        <v>685</v>
      </c>
      <c r="B22" s="20"/>
      <c r="C22" s="20"/>
      <c r="D22" s="20"/>
      <c r="E22" s="20"/>
      <c r="F22" s="20"/>
      <c r="G22" s="20"/>
      <c r="H22" s="20"/>
    </row>
    <row r="23" spans="1:8" ht="38" customHeight="1">
      <c r="A23" s="20" t="s">
        <v>686</v>
      </c>
      <c r="B23" s="20"/>
      <c r="C23" s="20"/>
      <c r="D23" s="20"/>
      <c r="E23" s="20"/>
      <c r="F23" s="20"/>
      <c r="G23" s="20"/>
      <c r="H23" s="20"/>
    </row>
    <row r="24" spans="1:8" ht="38" customHeight="1">
      <c r="A24" s="20" t="s">
        <v>687</v>
      </c>
      <c r="B24" s="20"/>
      <c r="C24" s="20"/>
      <c r="D24" s="20"/>
      <c r="E24" s="20"/>
      <c r="F24" s="20"/>
      <c r="G24" s="20"/>
      <c r="H24" s="20"/>
    </row>
    <row r="25" spans="1:8" ht="38" customHeight="1">
      <c r="A25" s="20" t="s">
        <v>688</v>
      </c>
      <c r="B25" s="20"/>
      <c r="C25" s="20"/>
      <c r="D25" s="20"/>
      <c r="E25" s="20"/>
      <c r="F25" s="20"/>
      <c r="G25" s="20"/>
      <c r="H25" s="20"/>
    </row>
  </sheetData>
  <autoFilter ref="A5:H19"/>
  <mergeCells count="8">
    <mergeCell ref="A1:H1"/>
    <mergeCell ref="A2:H2"/>
    <mergeCell ref="B3:H3"/>
    <mergeCell ref="A21:H21"/>
    <mergeCell ref="A22:H22"/>
    <mergeCell ref="A23:H23"/>
    <mergeCell ref="A24:H24"/>
    <mergeCell ref="A25:H25"/>
  </mergeCells>
  <hyperlinks>
    <hyperlink ref="A3" location="'00_はじめに'!A1" display="目次"/>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11.xml><?xml version="1.0" encoding="utf-8"?>
<worksheet xmlns="http://schemas.openxmlformats.org/spreadsheetml/2006/main" xmlns:r="http://schemas.openxmlformats.org/officeDocument/2006/relationships">
  <sheetPr>
    <tabColor rgb="FF18344B"/>
    <pageSetUpPr fitToPage="1"/>
  </sheetPr>
  <dimension ref="A1:F24"/>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75</v>
      </c>
      <c r="B1" s="2"/>
      <c r="C1" s="2"/>
      <c r="D1" s="2"/>
      <c r="E1" s="2"/>
      <c r="F1" s="2"/>
    </row>
    <row r="2" spans="1:6" ht="37" customHeight="1">
      <c r="A2" s="3" t="s">
        <v>76</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66.5" customHeight="1">
      <c r="A6" s="6">
        <v>1</v>
      </c>
      <c r="B6" s="7" t="s">
        <v>689</v>
      </c>
      <c r="C6" s="8" t="s">
        <v>690</v>
      </c>
      <c r="D6" s="9" t="s">
        <v>691</v>
      </c>
      <c r="E6" s="10" t="s">
        <v>692</v>
      </c>
      <c r="F6" s="11" t="s">
        <v>188</v>
      </c>
    </row>
    <row r="7" spans="1:6" ht="66.5" customHeight="1">
      <c r="A7" s="12">
        <v>2</v>
      </c>
      <c r="B7" s="13" t="s">
        <v>693</v>
      </c>
      <c r="C7" s="14" t="s">
        <v>694</v>
      </c>
      <c r="D7" s="1" t="s">
        <v>695</v>
      </c>
      <c r="E7" s="15" t="s">
        <v>696</v>
      </c>
      <c r="F7" s="16" t="s">
        <v>697</v>
      </c>
    </row>
    <row r="8" spans="1:6" ht="84" customHeight="1">
      <c r="A8" s="6">
        <v>3</v>
      </c>
      <c r="B8" s="7" t="s">
        <v>698</v>
      </c>
      <c r="C8" s="8" t="s">
        <v>699</v>
      </c>
      <c r="D8" s="9" t="s">
        <v>700</v>
      </c>
      <c r="E8" s="10" t="s">
        <v>701</v>
      </c>
      <c r="F8" s="11" t="s">
        <v>425</v>
      </c>
    </row>
    <row r="9" spans="1:6" ht="66.5" customHeight="1">
      <c r="A9" s="12">
        <v>4</v>
      </c>
      <c r="B9" s="13" t="s">
        <v>702</v>
      </c>
      <c r="C9" s="14" t="s">
        <v>703</v>
      </c>
      <c r="D9" s="1" t="s">
        <v>704</v>
      </c>
      <c r="E9" s="15" t="s">
        <v>705</v>
      </c>
      <c r="F9" s="16" t="s">
        <v>706</v>
      </c>
    </row>
    <row r="10" spans="1:6" ht="84" customHeight="1">
      <c r="A10" s="6">
        <v>5</v>
      </c>
      <c r="B10" s="7" t="s">
        <v>707</v>
      </c>
      <c r="C10" s="8" t="s">
        <v>708</v>
      </c>
      <c r="D10" s="9" t="s">
        <v>709</v>
      </c>
      <c r="E10" s="10" t="s">
        <v>710</v>
      </c>
      <c r="F10" s="11" t="s">
        <v>711</v>
      </c>
    </row>
    <row r="11" spans="1:6" ht="84" customHeight="1">
      <c r="A11" s="12">
        <v>6</v>
      </c>
      <c r="B11" s="13" t="s">
        <v>712</v>
      </c>
      <c r="C11" s="14" t="s">
        <v>713</v>
      </c>
      <c r="D11" s="1" t="s">
        <v>714</v>
      </c>
      <c r="E11" s="15" t="s">
        <v>715</v>
      </c>
      <c r="F11" s="16" t="s">
        <v>716</v>
      </c>
    </row>
    <row r="12" spans="1:6" ht="84" customHeight="1">
      <c r="A12" s="6">
        <v>7</v>
      </c>
      <c r="B12" s="7" t="s">
        <v>717</v>
      </c>
      <c r="C12" s="8" t="s">
        <v>718</v>
      </c>
      <c r="D12" s="9" t="s">
        <v>719</v>
      </c>
      <c r="E12" s="10" t="s">
        <v>720</v>
      </c>
      <c r="F12" s="11" t="s">
        <v>721</v>
      </c>
    </row>
    <row r="13" spans="1:6" ht="66.5" customHeight="1">
      <c r="A13" s="12">
        <v>8</v>
      </c>
      <c r="B13" s="13" t="s">
        <v>722</v>
      </c>
      <c r="C13" s="14" t="s">
        <v>723</v>
      </c>
      <c r="D13" s="1" t="s">
        <v>724</v>
      </c>
      <c r="E13" s="15" t="s">
        <v>725</v>
      </c>
      <c r="F13" s="16" t="s">
        <v>726</v>
      </c>
    </row>
    <row r="14" spans="1:6" ht="84" customHeight="1">
      <c r="A14" s="6">
        <v>9</v>
      </c>
      <c r="B14" s="7" t="s">
        <v>727</v>
      </c>
      <c r="C14" s="8" t="s">
        <v>728</v>
      </c>
      <c r="D14" s="9" t="s">
        <v>729</v>
      </c>
      <c r="E14" s="10" t="s">
        <v>730</v>
      </c>
      <c r="F14" s="11" t="s">
        <v>731</v>
      </c>
    </row>
    <row r="15" spans="1:6" ht="84" customHeight="1">
      <c r="A15" s="12">
        <v>10</v>
      </c>
      <c r="B15" s="13" t="s">
        <v>732</v>
      </c>
      <c r="C15" s="14" t="s">
        <v>733</v>
      </c>
      <c r="D15" s="1" t="s">
        <v>734</v>
      </c>
      <c r="E15" s="15" t="s">
        <v>735</v>
      </c>
      <c r="F15" s="16" t="s">
        <v>736</v>
      </c>
    </row>
    <row r="16" spans="1:6" ht="84" customHeight="1">
      <c r="A16" s="6">
        <v>11</v>
      </c>
      <c r="B16" s="7" t="s">
        <v>737</v>
      </c>
      <c r="C16" s="8" t="s">
        <v>738</v>
      </c>
      <c r="D16" s="9" t="s">
        <v>739</v>
      </c>
      <c r="E16" s="10" t="s">
        <v>740</v>
      </c>
      <c r="F16" s="11" t="s">
        <v>248</v>
      </c>
    </row>
    <row r="17" spans="1:6" ht="84" customHeight="1">
      <c r="A17" s="12">
        <v>12</v>
      </c>
      <c r="B17" s="13" t="s">
        <v>741</v>
      </c>
      <c r="C17" s="14" t="s">
        <v>742</v>
      </c>
      <c r="D17" s="1" t="s">
        <v>743</v>
      </c>
      <c r="E17" s="15" t="s">
        <v>744</v>
      </c>
      <c r="F17" s="16" t="s">
        <v>430</v>
      </c>
    </row>
    <row r="18" spans="1:6" ht="84" customHeight="1">
      <c r="A18" s="6">
        <v>13</v>
      </c>
      <c r="B18" s="7" t="s">
        <v>745</v>
      </c>
      <c r="C18" s="8" t="s">
        <v>746</v>
      </c>
      <c r="D18" s="9" t="s">
        <v>747</v>
      </c>
      <c r="E18" s="10" t="s">
        <v>748</v>
      </c>
      <c r="F18" s="11" t="s">
        <v>243</v>
      </c>
    </row>
    <row r="19" spans="1:6" ht="84" customHeight="1">
      <c r="A19" s="12">
        <v>14</v>
      </c>
      <c r="B19" s="13" t="s">
        <v>749</v>
      </c>
      <c r="C19" s="14" t="s">
        <v>750</v>
      </c>
      <c r="D19" s="1" t="s">
        <v>751</v>
      </c>
      <c r="E19" s="15" t="s">
        <v>752</v>
      </c>
      <c r="F19" s="16" t="s">
        <v>753</v>
      </c>
    </row>
    <row r="20" spans="1:6" ht="84" customHeight="1">
      <c r="A20" s="6">
        <v>15</v>
      </c>
      <c r="B20" s="7" t="s">
        <v>754</v>
      </c>
      <c r="C20" s="8" t="s">
        <v>755</v>
      </c>
      <c r="D20" s="9" t="s">
        <v>756</v>
      </c>
      <c r="E20" s="10" t="s">
        <v>757</v>
      </c>
      <c r="F20" s="11" t="s">
        <v>758</v>
      </c>
    </row>
    <row r="21" spans="1:6" ht="66.5" customHeight="1">
      <c r="A21" s="12">
        <v>16</v>
      </c>
      <c r="B21" s="13" t="s">
        <v>759</v>
      </c>
      <c r="C21" s="14" t="s">
        <v>760</v>
      </c>
      <c r="D21" s="1" t="s">
        <v>761</v>
      </c>
      <c r="E21" s="15" t="s">
        <v>762</v>
      </c>
      <c r="F21" s="16" t="s">
        <v>763</v>
      </c>
    </row>
    <row r="22" spans="1:6" ht="84" customHeight="1">
      <c r="A22" s="6">
        <v>17</v>
      </c>
      <c r="B22" s="7" t="s">
        <v>764</v>
      </c>
      <c r="C22" s="8" t="s">
        <v>765</v>
      </c>
      <c r="D22" s="9" t="s">
        <v>766</v>
      </c>
      <c r="E22" s="10" t="s">
        <v>767</v>
      </c>
      <c r="F22" s="11" t="s">
        <v>768</v>
      </c>
    </row>
    <row r="23" spans="1:6" ht="66.5" customHeight="1">
      <c r="A23" s="12">
        <v>18</v>
      </c>
      <c r="B23" s="13" t="s">
        <v>769</v>
      </c>
      <c r="C23" s="14" t="s">
        <v>770</v>
      </c>
      <c r="D23" s="1" t="s">
        <v>771</v>
      </c>
      <c r="E23" s="15" t="s">
        <v>772</v>
      </c>
      <c r="F23" s="16" t="s">
        <v>773</v>
      </c>
    </row>
    <row r="24" spans="1:6" ht="66.5" customHeight="1">
      <c r="A24" s="6">
        <v>19</v>
      </c>
      <c r="B24" s="7" t="s">
        <v>774</v>
      </c>
      <c r="C24" s="8" t="s">
        <v>775</v>
      </c>
      <c r="D24" s="9" t="s">
        <v>776</v>
      </c>
      <c r="E24" s="10" t="s">
        <v>777</v>
      </c>
      <c r="F24" s="11" t="s">
        <v>778</v>
      </c>
    </row>
  </sheetData>
  <autoFilter ref="A5:F24"/>
  <mergeCells count="3">
    <mergeCell ref="A1:F1"/>
    <mergeCell ref="A2:F2"/>
    <mergeCell ref="B3:F3"/>
  </mergeCells>
  <hyperlinks>
    <hyperlink ref="A3" location="'00_はじめに'!A1" display="目次"/>
    <hyperlink ref="F6" location="'21_出典と確認範囲'!A23" tooltip="先頭の出典へ移動。全IDは出典一覧で確認。" display="S18 S25"/>
    <hyperlink ref="F7" location="'21_出典と確認範囲'!A23" tooltip="先頭の出典へ移動。全IDは出典一覧で確認。" display="S18 S19 S22 S23"/>
    <hyperlink ref="F8" location="'21_出典と確認範囲'!A25" tooltip="先頭の出典へ移動。全IDは出典一覧で確認。" display="S20 S21"/>
    <hyperlink ref="F9" location="'21_出典と確認範囲'!A8" tooltip="先頭の出典へ移動。全IDは出典一覧で確認。" display="S03 S10 S23"/>
    <hyperlink ref="F10" location="'21_出典と確認範囲'!A15" tooltip="先頭の出典へ移動。全IDは出典一覧で確認。" display="S10 S17 S25 S27"/>
    <hyperlink ref="F11" location="'21_出典と確認範囲'!A6" tooltip="先頭の出典へ移動。全IDは出典一覧で確認。" display="S01 S21 S25"/>
    <hyperlink ref="F12" location="'21_出典と確認範囲'!A15" tooltip="先頭の出典へ移動。全IDは出典一覧で確認。" display="S10 S17 S21 S25"/>
    <hyperlink ref="F13" location="'21_出典と確認範囲'!A25" tooltip="先頭の出典へ移動。全IDは出典一覧で確認。" display="S20 S21 / 設計判断"/>
    <hyperlink ref="F14" location="'21_出典と確認範囲'!A24" tooltip="先頭の出典へ移動。全IDは出典一覧で確認。" display="S19 S20 S22"/>
    <hyperlink ref="F15" location="'21_出典と確認範囲'!A9" tooltip="先頭の出典へ移動。全IDは出典一覧で確認。" display="S04 S19 S20"/>
    <hyperlink ref="F16" location="'21_出典と確認範囲'!A16" tooltip="先頭の出典へ移動。全IDは出典一覧で確認。" display="S11 S19 S21"/>
    <hyperlink ref="F17" location="'21_出典と確認範囲'!A24" tooltip="先頭の出典へ移動。全IDは出典一覧で確認。" display="S19 S20 S21"/>
    <hyperlink ref="F18" location="'21_出典と確認範囲'!A26" tooltip="先頭の出典へ移動。全IDは出典一覧で確認。" display="S21 S25"/>
    <hyperlink ref="F19" location="'21_出典と確認範囲'!A10" tooltip="先頭の出典へ移動。全IDは出典一覧で確認。" display="S05 S10 S13"/>
    <hyperlink ref="F20" location="'21_出典と確認範囲'!A15" tooltip="先頭の出典へ移動。全IDは出典一覧で確認。" display="S10 S17 S25"/>
    <hyperlink ref="F21" location="'21_出典と確認範囲'!A18" tooltip="先頭の出典へ移動。全IDは出典一覧で確認。" display="S13 S25 / 設計判断"/>
    <hyperlink ref="F22" location="'21_出典と確認範囲'!A22" tooltip="先頭の出典へ移動。全IDは出典一覧で確認。" display="S17 S21 S25"/>
    <hyperlink ref="F23" location="'21_出典と確認範囲'!A8" tooltip="先頭の出典へ移動。全IDは出典一覧で確認。" display="S03 S24 S25 S26"/>
    <hyperlink ref="F24" location="'21_出典と確認範囲'!A10" tooltip="先頭の出典へ移動。全IDは出典一覧で確認。" display="S05 S10 S13 S19 S25 S26"/>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12.xml><?xml version="1.0" encoding="utf-8"?>
<worksheet xmlns="http://schemas.openxmlformats.org/spreadsheetml/2006/main" xmlns:r="http://schemas.openxmlformats.org/officeDocument/2006/relationships">
  <sheetPr>
    <tabColor rgb="FF006E78"/>
    <pageSetUpPr fitToPage="1"/>
  </sheetPr>
  <dimension ref="A1:F17"/>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78</v>
      </c>
      <c r="B1" s="2"/>
      <c r="C1" s="2"/>
      <c r="D1" s="2"/>
      <c r="E1" s="2"/>
      <c r="F1" s="2"/>
    </row>
    <row r="2" spans="1:6" ht="37" customHeight="1">
      <c r="A2" s="3" t="s">
        <v>79</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84" customHeight="1">
      <c r="A6" s="6">
        <v>1</v>
      </c>
      <c r="B6" s="7" t="s">
        <v>779</v>
      </c>
      <c r="C6" s="8" t="s">
        <v>780</v>
      </c>
      <c r="D6" s="9" t="s">
        <v>781</v>
      </c>
      <c r="E6" s="10" t="s">
        <v>782</v>
      </c>
      <c r="F6" s="11" t="s">
        <v>783</v>
      </c>
    </row>
    <row r="7" spans="1:6" ht="66.5" customHeight="1">
      <c r="A7" s="12">
        <v>2</v>
      </c>
      <c r="B7" s="13" t="s">
        <v>784</v>
      </c>
      <c r="C7" s="14" t="s">
        <v>785</v>
      </c>
      <c r="D7" s="1" t="s">
        <v>786</v>
      </c>
      <c r="E7" s="15" t="s">
        <v>787</v>
      </c>
      <c r="F7" s="16" t="s">
        <v>788</v>
      </c>
    </row>
    <row r="8" spans="1:6" ht="66.5" customHeight="1">
      <c r="A8" s="6">
        <v>3</v>
      </c>
      <c r="B8" s="7" t="s">
        <v>789</v>
      </c>
      <c r="C8" s="8" t="s">
        <v>790</v>
      </c>
      <c r="D8" s="9" t="s">
        <v>791</v>
      </c>
      <c r="E8" s="10" t="s">
        <v>792</v>
      </c>
      <c r="F8" s="11" t="s">
        <v>793</v>
      </c>
    </row>
    <row r="9" spans="1:6" ht="66.5" customHeight="1">
      <c r="A9" s="12">
        <v>4</v>
      </c>
      <c r="B9" s="13" t="s">
        <v>794</v>
      </c>
      <c r="C9" s="14" t="s">
        <v>795</v>
      </c>
      <c r="D9" s="1" t="s">
        <v>796</v>
      </c>
      <c r="E9" s="15" t="s">
        <v>797</v>
      </c>
      <c r="F9" s="16" t="s">
        <v>798</v>
      </c>
    </row>
    <row r="10" spans="1:6" ht="66.5" customHeight="1">
      <c r="A10" s="6">
        <v>5</v>
      </c>
      <c r="B10" s="7" t="s">
        <v>799</v>
      </c>
      <c r="C10" s="8" t="s">
        <v>800</v>
      </c>
      <c r="D10" s="9" t="s">
        <v>801</v>
      </c>
      <c r="E10" s="10" t="s">
        <v>802</v>
      </c>
      <c r="F10" s="11" t="s">
        <v>803</v>
      </c>
    </row>
    <row r="11" spans="1:6" ht="66.5" customHeight="1">
      <c r="A11" s="12">
        <v>6</v>
      </c>
      <c r="B11" s="13" t="s">
        <v>804</v>
      </c>
      <c r="C11" s="14" t="s">
        <v>805</v>
      </c>
      <c r="D11" s="1" t="s">
        <v>806</v>
      </c>
      <c r="E11" s="15" t="s">
        <v>807</v>
      </c>
      <c r="F11" s="16" t="s">
        <v>808</v>
      </c>
    </row>
    <row r="12" spans="1:6" ht="66.5" customHeight="1">
      <c r="A12" s="6">
        <v>7</v>
      </c>
      <c r="B12" s="7" t="s">
        <v>809</v>
      </c>
      <c r="C12" s="8" t="s">
        <v>810</v>
      </c>
      <c r="D12" s="9" t="s">
        <v>811</v>
      </c>
      <c r="E12" s="10" t="s">
        <v>812</v>
      </c>
      <c r="F12" s="11" t="s">
        <v>813</v>
      </c>
    </row>
    <row r="13" spans="1:6" ht="84" customHeight="1">
      <c r="A13" s="12">
        <v>8</v>
      </c>
      <c r="B13" s="13" t="s">
        <v>814</v>
      </c>
      <c r="C13" s="14" t="s">
        <v>815</v>
      </c>
      <c r="D13" s="1" t="s">
        <v>816</v>
      </c>
      <c r="E13" s="15" t="s">
        <v>817</v>
      </c>
      <c r="F13" s="16" t="s">
        <v>818</v>
      </c>
    </row>
    <row r="14" spans="1:6" ht="84" customHeight="1">
      <c r="A14" s="6">
        <v>9</v>
      </c>
      <c r="B14" s="7" t="s">
        <v>819</v>
      </c>
      <c r="C14" s="8" t="s">
        <v>820</v>
      </c>
      <c r="D14" s="9" t="s">
        <v>821</v>
      </c>
      <c r="E14" s="10" t="s">
        <v>822</v>
      </c>
      <c r="F14" s="11" t="s">
        <v>823</v>
      </c>
    </row>
    <row r="15" spans="1:6" ht="66.5" customHeight="1">
      <c r="A15" s="12">
        <v>10</v>
      </c>
      <c r="B15" s="13" t="s">
        <v>824</v>
      </c>
      <c r="C15" s="14" t="s">
        <v>825</v>
      </c>
      <c r="D15" s="1" t="s">
        <v>826</v>
      </c>
      <c r="E15" s="15" t="s">
        <v>827</v>
      </c>
      <c r="F15" s="16" t="s">
        <v>828</v>
      </c>
    </row>
    <row r="16" spans="1:6" ht="84" customHeight="1">
      <c r="A16" s="6">
        <v>11</v>
      </c>
      <c r="B16" s="7" t="s">
        <v>829</v>
      </c>
      <c r="C16" s="8" t="s">
        <v>830</v>
      </c>
      <c r="D16" s="9" t="s">
        <v>831</v>
      </c>
      <c r="E16" s="10" t="s">
        <v>832</v>
      </c>
      <c r="F16" s="11" t="s">
        <v>833</v>
      </c>
    </row>
    <row r="17" spans="1:6" ht="66.5" customHeight="1">
      <c r="A17" s="12">
        <v>12</v>
      </c>
      <c r="B17" s="13" t="s">
        <v>834</v>
      </c>
      <c r="C17" s="14" t="s">
        <v>835</v>
      </c>
      <c r="D17" s="1" t="s">
        <v>836</v>
      </c>
      <c r="E17" s="15" t="s">
        <v>837</v>
      </c>
      <c r="F17" s="16" t="s">
        <v>838</v>
      </c>
    </row>
  </sheetData>
  <autoFilter ref="A5:F17"/>
  <mergeCells count="3">
    <mergeCell ref="A1:F1"/>
    <mergeCell ref="A2:F2"/>
    <mergeCell ref="B3:F3"/>
  </mergeCells>
  <hyperlinks>
    <hyperlink ref="A3" location="'00_はじめに'!A1" display="目次"/>
    <hyperlink ref="F6" location="'21_出典と確認範囲'!A25" tooltip="先頭の出典へ移動。全IDは出典一覧で確認。" display="S20 S21 S25 / 説明例"/>
    <hyperlink ref="F7" location="'21_出典と確認範囲'!A10" tooltip="先頭の出典へ移動。全IDは出典一覧で確認。" display="S05 S11 S19 / 説明例"/>
    <hyperlink ref="F8" location="'21_出典と確認範囲'!A10" tooltip="先頭の出典へ移動。全IDは出典一覧で確認。" display="S05 / 説明例"/>
    <hyperlink ref="F9" location="'21_出典と確認範囲'!A10" tooltip="先頭の出典へ移動。全IDは出典一覧で確認。" display="S05 S19 S21 / 説明例"/>
    <hyperlink ref="F10" location="'21_出典と確認範囲'!A10" tooltip="先頭の出典へ移動。全IDは出典一覧で確認。" display="S05 S06 S11 / 説明例"/>
    <hyperlink ref="F11" location="'21_出典と確認範囲'!A23" tooltip="先頭の出典へ移動。全IDは出典一覧で確認。" display="S18 S19 / 説明例"/>
    <hyperlink ref="F12" location="'21_出典と確認範囲'!A24" tooltip="先頭の出典へ移動。全IDは出典一覧で確認。" display="S19 S20 S21 / 説明例"/>
    <hyperlink ref="F13" location="'21_出典と確認範囲'!A18" tooltip="先頭の出典へ移動。全IDは出典一覧で確認。" display="S13 S25 S27 / 説明例"/>
    <hyperlink ref="F14" location="'21_出典と確認範囲'!A8" tooltip="先頭の出典へ移動。全IDは出典一覧で確認。" display="S03 S25 S26 S27 / 説明例"/>
    <hyperlink ref="F15" location="'21_出典と確認範囲'!A34" tooltip="先頭の出典へ移動。全IDは出典一覧で確認。" display="S29 S30 / 説明例"/>
    <hyperlink ref="F16" location="'21_出典と確認範囲'!A16" tooltip="先頭の出典へ移動。全IDは出典一覧で確認。" display="S11 S13 / 説明例"/>
    <hyperlink ref="F17" location="'21_出典と確認範囲'!A18" tooltip="先頭の出典へ移動。全IDは出典一覧で確認。" display="S13 S33 S34 / 説明例"/>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13.xml><?xml version="1.0" encoding="utf-8"?>
<worksheet xmlns="http://schemas.openxmlformats.org/spreadsheetml/2006/main" xmlns:r="http://schemas.openxmlformats.org/officeDocument/2006/relationships">
  <sheetPr>
    <tabColor rgb="FF006E78"/>
    <pageSetUpPr fitToPage="1"/>
  </sheetPr>
  <dimension ref="A1:F21"/>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81</v>
      </c>
      <c r="B1" s="2"/>
      <c r="C1" s="2"/>
      <c r="D1" s="2"/>
      <c r="E1" s="2"/>
      <c r="F1" s="2"/>
    </row>
    <row r="2" spans="1:6" ht="37" customHeight="1">
      <c r="A2" s="3" t="s">
        <v>82</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84" customHeight="1">
      <c r="A6" s="6">
        <v>1</v>
      </c>
      <c r="B6" s="7" t="s">
        <v>839</v>
      </c>
      <c r="C6" s="8" t="s">
        <v>840</v>
      </c>
      <c r="D6" s="9" t="s">
        <v>841</v>
      </c>
      <c r="E6" s="10" t="s">
        <v>842</v>
      </c>
      <c r="F6" s="11" t="s">
        <v>843</v>
      </c>
    </row>
    <row r="7" spans="1:6" ht="84" customHeight="1">
      <c r="A7" s="12">
        <v>2</v>
      </c>
      <c r="B7" s="13" t="s">
        <v>844</v>
      </c>
      <c r="C7" s="14" t="s">
        <v>845</v>
      </c>
      <c r="D7" s="1" t="s">
        <v>846</v>
      </c>
      <c r="E7" s="15" t="s">
        <v>847</v>
      </c>
      <c r="F7" s="16" t="s">
        <v>848</v>
      </c>
    </row>
    <row r="8" spans="1:6" ht="84" customHeight="1">
      <c r="A8" s="6">
        <v>3</v>
      </c>
      <c r="B8" s="7" t="s">
        <v>849</v>
      </c>
      <c r="C8" s="8" t="s">
        <v>850</v>
      </c>
      <c r="D8" s="9" t="s">
        <v>851</v>
      </c>
      <c r="E8" s="10" t="s">
        <v>852</v>
      </c>
      <c r="F8" s="11" t="s">
        <v>853</v>
      </c>
    </row>
    <row r="9" spans="1:6" ht="84" customHeight="1">
      <c r="A9" s="12">
        <v>4</v>
      </c>
      <c r="B9" s="13" t="s">
        <v>854</v>
      </c>
      <c r="C9" s="14" t="s">
        <v>855</v>
      </c>
      <c r="D9" s="1" t="s">
        <v>856</v>
      </c>
      <c r="E9" s="15" t="s">
        <v>857</v>
      </c>
      <c r="F9" s="16" t="s">
        <v>858</v>
      </c>
    </row>
    <row r="10" spans="1:6" ht="84" customHeight="1">
      <c r="A10" s="6">
        <v>5</v>
      </c>
      <c r="B10" s="7" t="s">
        <v>859</v>
      </c>
      <c r="C10" s="8" t="s">
        <v>860</v>
      </c>
      <c r="D10" s="9" t="s">
        <v>861</v>
      </c>
      <c r="E10" s="10" t="s">
        <v>862</v>
      </c>
      <c r="F10" s="11" t="s">
        <v>863</v>
      </c>
    </row>
    <row r="11" spans="1:6" ht="84" customHeight="1">
      <c r="A11" s="12">
        <v>6</v>
      </c>
      <c r="B11" s="13" t="s">
        <v>864</v>
      </c>
      <c r="C11" s="14" t="s">
        <v>865</v>
      </c>
      <c r="D11" s="1" t="s">
        <v>866</v>
      </c>
      <c r="E11" s="15" t="s">
        <v>867</v>
      </c>
      <c r="F11" s="16" t="s">
        <v>213</v>
      </c>
    </row>
    <row r="12" spans="1:6" ht="84" customHeight="1">
      <c r="A12" s="6">
        <v>7</v>
      </c>
      <c r="B12" s="7" t="s">
        <v>868</v>
      </c>
      <c r="C12" s="8" t="s">
        <v>869</v>
      </c>
      <c r="D12" s="9" t="s">
        <v>870</v>
      </c>
      <c r="E12" s="10" t="s">
        <v>871</v>
      </c>
      <c r="F12" s="11" t="s">
        <v>872</v>
      </c>
    </row>
    <row r="13" spans="1:6" ht="66.5" customHeight="1">
      <c r="A13" s="12">
        <v>8</v>
      </c>
      <c r="B13" s="13" t="s">
        <v>873</v>
      </c>
      <c r="C13" s="14" t="s">
        <v>874</v>
      </c>
      <c r="D13" s="1" t="s">
        <v>875</v>
      </c>
      <c r="E13" s="15" t="s">
        <v>876</v>
      </c>
      <c r="F13" s="16" t="s">
        <v>877</v>
      </c>
    </row>
    <row r="14" spans="1:6" ht="84" customHeight="1">
      <c r="A14" s="6">
        <v>9</v>
      </c>
      <c r="B14" s="7" t="s">
        <v>878</v>
      </c>
      <c r="C14" s="8" t="s">
        <v>879</v>
      </c>
      <c r="D14" s="9" t="s">
        <v>880</v>
      </c>
      <c r="E14" s="10" t="s">
        <v>881</v>
      </c>
      <c r="F14" s="11" t="s">
        <v>882</v>
      </c>
    </row>
    <row r="15" spans="1:6" ht="84" customHeight="1">
      <c r="A15" s="12">
        <v>10</v>
      </c>
      <c r="B15" s="13" t="s">
        <v>883</v>
      </c>
      <c r="C15" s="14" t="s">
        <v>884</v>
      </c>
      <c r="D15" s="1" t="s">
        <v>885</v>
      </c>
      <c r="E15" s="15" t="s">
        <v>886</v>
      </c>
      <c r="F15" s="16" t="s">
        <v>887</v>
      </c>
    </row>
    <row r="16" spans="1:6" ht="84" customHeight="1">
      <c r="A16" s="6">
        <v>11</v>
      </c>
      <c r="B16" s="7" t="s">
        <v>888</v>
      </c>
      <c r="C16" s="8" t="s">
        <v>889</v>
      </c>
      <c r="D16" s="9" t="s">
        <v>890</v>
      </c>
      <c r="E16" s="10" t="s">
        <v>891</v>
      </c>
      <c r="F16" s="11" t="s">
        <v>892</v>
      </c>
    </row>
    <row r="17" spans="1:6" ht="84" customHeight="1">
      <c r="A17" s="12">
        <v>12</v>
      </c>
      <c r="B17" s="13" t="s">
        <v>893</v>
      </c>
      <c r="C17" s="14" t="s">
        <v>894</v>
      </c>
      <c r="D17" s="1" t="s">
        <v>895</v>
      </c>
      <c r="E17" s="15" t="s">
        <v>896</v>
      </c>
      <c r="F17" s="16" t="s">
        <v>897</v>
      </c>
    </row>
    <row r="18" spans="1:6" ht="66.5" customHeight="1">
      <c r="A18" s="6">
        <v>13</v>
      </c>
      <c r="B18" s="7" t="s">
        <v>898</v>
      </c>
      <c r="C18" s="8" t="s">
        <v>899</v>
      </c>
      <c r="D18" s="9" t="s">
        <v>900</v>
      </c>
      <c r="E18" s="10" t="s">
        <v>901</v>
      </c>
      <c r="F18" s="11" t="s">
        <v>902</v>
      </c>
    </row>
    <row r="19" spans="1:6" ht="66.5" customHeight="1">
      <c r="A19" s="12">
        <v>14</v>
      </c>
      <c r="B19" s="13" t="s">
        <v>903</v>
      </c>
      <c r="C19" s="14" t="s">
        <v>904</v>
      </c>
      <c r="D19" s="1" t="s">
        <v>905</v>
      </c>
      <c r="E19" s="15" t="s">
        <v>906</v>
      </c>
      <c r="F19" s="16" t="s">
        <v>570</v>
      </c>
    </row>
    <row r="20" spans="1:6" ht="66.5" customHeight="1">
      <c r="A20" s="6">
        <v>15</v>
      </c>
      <c r="B20" s="7" t="s">
        <v>907</v>
      </c>
      <c r="C20" s="8" t="s">
        <v>908</v>
      </c>
      <c r="D20" s="9" t="s">
        <v>909</v>
      </c>
      <c r="E20" s="10" t="s">
        <v>910</v>
      </c>
      <c r="F20" s="11" t="s">
        <v>911</v>
      </c>
    </row>
    <row r="21" spans="1:6" ht="84" customHeight="1">
      <c r="A21" s="12">
        <v>16</v>
      </c>
      <c r="B21" s="13" t="s">
        <v>912</v>
      </c>
      <c r="C21" s="14" t="s">
        <v>913</v>
      </c>
      <c r="D21" s="1" t="s">
        <v>914</v>
      </c>
      <c r="E21" s="15" t="s">
        <v>915</v>
      </c>
      <c r="F21" s="16" t="s">
        <v>916</v>
      </c>
    </row>
  </sheetData>
  <autoFilter ref="A5:F21"/>
  <mergeCells count="3">
    <mergeCell ref="A1:F1"/>
    <mergeCell ref="A2:F2"/>
    <mergeCell ref="B3:F3"/>
  </mergeCells>
  <hyperlinks>
    <hyperlink ref="A3" location="'00_はじめに'!A1" display="目次"/>
    <hyperlink ref="F6" location="'21_出典と確認範囲'!A36" tooltip="先頭の出典へ移動。全IDは出典一覧で確認。" display="S31 S34"/>
    <hyperlink ref="F7" location="'21_出典と確認範囲'!A31" tooltip="先頭の出典へ移動。全IDは出典一覧で確認。" display="S26"/>
    <hyperlink ref="F8" location="'21_出典と確認範囲'!A34" tooltip="先頭の出典へ移動。全IDは出典一覧で確認。" display="S29"/>
    <hyperlink ref="F9" location="'21_出典と確認範囲'!A34" tooltip="先頭の出典へ移動。全IDは出典一覧で確認。" display="S29 S30 / 設計判断"/>
    <hyperlink ref="F10" location="'21_出典と確認範囲'!A8" tooltip="先頭の出典へ移動。全IDは出典一覧で確認。" display="S03 S29"/>
    <hyperlink ref="F11" location="'21_出典と確認範囲'!A34" tooltip="先頭の出典へ移動。全IDは出典一覧で確認。" display="S29 S30"/>
    <hyperlink ref="F12" location="'21_出典と確認範囲'!A34" tooltip="先頭の出典へ移動。全IDは出典一覧で確認。" display="S29 S41 / 設計判断"/>
    <hyperlink ref="F13" location="'21_出典と確認範囲'!A21" tooltip="先頭の出典へ移動。全IDは出典一覧で確認。" display="S16 S41 / 別機能の区別"/>
    <hyperlink ref="F14" location="'21_出典と確認範囲'!A15" tooltip="先頭の出典へ移動。全IDは出典一覧で確認。" display="S10 S26 S27"/>
    <hyperlink ref="F15" location="'21_出典と確認範囲'!A32" tooltip="先頭の出典へ移動。全IDは出典一覧で確認。" display="S27"/>
    <hyperlink ref="F16" location="'21_出典と確認範囲'!A8" tooltip="先頭の出典へ移動。全IDは出典一覧で確認。" display="S03 S40"/>
    <hyperlink ref="F17" location="'21_出典と確認範囲'!A8" tooltip="先頭の出典へ移動。全IDは出典一覧で確認。" display="S03 S10 S26 / 構成確認"/>
    <hyperlink ref="F18" location="'21_出典と確認範囲'!A39" tooltip="先頭の出典へ移動。全IDは出典一覧で確認。" display="S34 / 設計判断"/>
    <hyperlink ref="F19" location="'21_出典と確認範囲'!A18" tooltip="先頭の出典へ移動。全IDは出典一覧で確認。" display="S13 S33"/>
    <hyperlink ref="F20" location="'21_出典と確認範囲'!A15" tooltip="先頭の出典へ移動。全IDは出典一覧で確認。" display="S10 S25 S26 S34 / 設計判断"/>
    <hyperlink ref="F21" location="'21_出典と確認範囲'!A8" tooltip="先頭の出典へ移動。全IDは出典一覧で確認。" display="S03 S26 S29 S34 / 検証計画"/>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14.xml><?xml version="1.0" encoding="utf-8"?>
<worksheet xmlns="http://schemas.openxmlformats.org/spreadsheetml/2006/main" xmlns:r="http://schemas.openxmlformats.org/officeDocument/2006/relationships">
  <sheetPr>
    <tabColor rgb="FF006E78"/>
    <pageSetUpPr fitToPage="1"/>
  </sheetPr>
  <dimension ref="A1:F19"/>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84</v>
      </c>
      <c r="B1" s="2"/>
      <c r="C1" s="2"/>
      <c r="D1" s="2"/>
      <c r="E1" s="2"/>
      <c r="F1" s="2"/>
    </row>
    <row r="2" spans="1:6" ht="37" customHeight="1">
      <c r="A2" s="3" t="s">
        <v>85</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84" customHeight="1">
      <c r="A6" s="6">
        <v>1</v>
      </c>
      <c r="B6" s="7" t="s">
        <v>917</v>
      </c>
      <c r="C6" s="8" t="s">
        <v>918</v>
      </c>
      <c r="D6" s="9" t="s">
        <v>919</v>
      </c>
      <c r="E6" s="10" t="s">
        <v>920</v>
      </c>
      <c r="F6" s="11" t="s">
        <v>921</v>
      </c>
    </row>
    <row r="7" spans="1:6" ht="84" customHeight="1">
      <c r="A7" s="12">
        <v>2</v>
      </c>
      <c r="B7" s="13" t="s">
        <v>922</v>
      </c>
      <c r="C7" s="14" t="s">
        <v>923</v>
      </c>
      <c r="D7" s="1" t="s">
        <v>924</v>
      </c>
      <c r="E7" s="15" t="s">
        <v>925</v>
      </c>
      <c r="F7" s="16" t="s">
        <v>926</v>
      </c>
    </row>
    <row r="8" spans="1:6" ht="84" customHeight="1">
      <c r="A8" s="6">
        <v>3</v>
      </c>
      <c r="B8" s="7" t="s">
        <v>927</v>
      </c>
      <c r="C8" s="8" t="s">
        <v>928</v>
      </c>
      <c r="D8" s="9" t="s">
        <v>929</v>
      </c>
      <c r="E8" s="10" t="s">
        <v>930</v>
      </c>
      <c r="F8" s="11" t="s">
        <v>931</v>
      </c>
    </row>
    <row r="9" spans="1:6" ht="84" customHeight="1">
      <c r="A9" s="12">
        <v>4</v>
      </c>
      <c r="B9" s="13" t="s">
        <v>932</v>
      </c>
      <c r="C9" s="14" t="s">
        <v>933</v>
      </c>
      <c r="D9" s="1" t="s">
        <v>934</v>
      </c>
      <c r="E9" s="15" t="s">
        <v>935</v>
      </c>
      <c r="F9" s="16" t="s">
        <v>936</v>
      </c>
    </row>
    <row r="10" spans="1:6" ht="84" customHeight="1">
      <c r="A10" s="6">
        <v>5</v>
      </c>
      <c r="B10" s="7" t="s">
        <v>937</v>
      </c>
      <c r="C10" s="8" t="s">
        <v>938</v>
      </c>
      <c r="D10" s="9" t="s">
        <v>939</v>
      </c>
      <c r="E10" s="10" t="s">
        <v>940</v>
      </c>
      <c r="F10" s="11" t="s">
        <v>941</v>
      </c>
    </row>
    <row r="11" spans="1:6" ht="66.5" customHeight="1">
      <c r="A11" s="12">
        <v>6</v>
      </c>
      <c r="B11" s="13" t="s">
        <v>942</v>
      </c>
      <c r="C11" s="14" t="s">
        <v>943</v>
      </c>
      <c r="D11" s="1" t="s">
        <v>944</v>
      </c>
      <c r="E11" s="15" t="s">
        <v>945</v>
      </c>
      <c r="F11" s="16" t="s">
        <v>946</v>
      </c>
    </row>
    <row r="12" spans="1:6" ht="84" customHeight="1">
      <c r="A12" s="6">
        <v>7</v>
      </c>
      <c r="B12" s="7" t="s">
        <v>947</v>
      </c>
      <c r="C12" s="8" t="s">
        <v>948</v>
      </c>
      <c r="D12" s="9" t="s">
        <v>949</v>
      </c>
      <c r="E12" s="10" t="s">
        <v>950</v>
      </c>
      <c r="F12" s="11" t="s">
        <v>951</v>
      </c>
    </row>
    <row r="13" spans="1:6" ht="84" customHeight="1">
      <c r="A13" s="12">
        <v>8</v>
      </c>
      <c r="B13" s="13" t="s">
        <v>952</v>
      </c>
      <c r="C13" s="14" t="s">
        <v>953</v>
      </c>
      <c r="D13" s="1" t="s">
        <v>954</v>
      </c>
      <c r="E13" s="15" t="s">
        <v>955</v>
      </c>
      <c r="F13" s="16" t="s">
        <v>956</v>
      </c>
    </row>
    <row r="14" spans="1:6" ht="66.5" customHeight="1">
      <c r="A14" s="6">
        <v>9</v>
      </c>
      <c r="B14" s="7" t="s">
        <v>957</v>
      </c>
      <c r="C14" s="8" t="s">
        <v>958</v>
      </c>
      <c r="D14" s="9" t="s">
        <v>959</v>
      </c>
      <c r="E14" s="10" t="s">
        <v>960</v>
      </c>
      <c r="F14" s="11" t="s">
        <v>926</v>
      </c>
    </row>
    <row r="15" spans="1:6" ht="66.5" customHeight="1">
      <c r="A15" s="12">
        <v>10</v>
      </c>
      <c r="B15" s="13" t="s">
        <v>961</v>
      </c>
      <c r="C15" s="14" t="s">
        <v>962</v>
      </c>
      <c r="D15" s="1" t="s">
        <v>963</v>
      </c>
      <c r="E15" s="15" t="s">
        <v>964</v>
      </c>
      <c r="F15" s="16" t="s">
        <v>965</v>
      </c>
    </row>
    <row r="16" spans="1:6" ht="84" customHeight="1">
      <c r="A16" s="6">
        <v>11</v>
      </c>
      <c r="B16" s="7" t="s">
        <v>966</v>
      </c>
      <c r="C16" s="8" t="s">
        <v>967</v>
      </c>
      <c r="D16" s="9" t="s">
        <v>968</v>
      </c>
      <c r="E16" s="10" t="s">
        <v>969</v>
      </c>
      <c r="F16" s="11" t="s">
        <v>965</v>
      </c>
    </row>
    <row r="17" spans="1:6" ht="66.5" customHeight="1">
      <c r="A17" s="12">
        <v>12</v>
      </c>
      <c r="B17" s="13" t="s">
        <v>970</v>
      </c>
      <c r="C17" s="14" t="s">
        <v>971</v>
      </c>
      <c r="D17" s="1" t="s">
        <v>972</v>
      </c>
      <c r="E17" s="15" t="s">
        <v>973</v>
      </c>
      <c r="F17" s="16" t="s">
        <v>974</v>
      </c>
    </row>
    <row r="18" spans="1:6" ht="66.5" customHeight="1">
      <c r="A18" s="6">
        <v>13</v>
      </c>
      <c r="B18" s="7" t="s">
        <v>975</v>
      </c>
      <c r="C18" s="8" t="s">
        <v>976</v>
      </c>
      <c r="D18" s="9" t="s">
        <v>977</v>
      </c>
      <c r="E18" s="10" t="s">
        <v>978</v>
      </c>
      <c r="F18" s="11" t="s">
        <v>979</v>
      </c>
    </row>
    <row r="19" spans="1:6" ht="84" customHeight="1">
      <c r="A19" s="12">
        <v>14</v>
      </c>
      <c r="B19" s="13" t="s">
        <v>980</v>
      </c>
      <c r="C19" s="14" t="s">
        <v>981</v>
      </c>
      <c r="D19" s="1" t="s">
        <v>982</v>
      </c>
      <c r="E19" s="15" t="s">
        <v>983</v>
      </c>
      <c r="F19" s="16" t="s">
        <v>984</v>
      </c>
    </row>
  </sheetData>
  <autoFilter ref="A5:F19"/>
  <mergeCells count="3">
    <mergeCell ref="A1:F1"/>
    <mergeCell ref="A2:F2"/>
    <mergeCell ref="B3:F3"/>
  </mergeCells>
  <hyperlinks>
    <hyperlink ref="A3" location="'00_はじめに'!A1" display="目次"/>
    <hyperlink ref="F6" location="'21_出典と確認範囲'!A6" tooltip="先頭の出典へ移動。全IDは出典一覧で確認。" display="S01 S13 S16 S29 / 設計モデル"/>
    <hyperlink ref="F7" location="'21_出典と確認範囲'!A25" tooltip="先頭の出典へ移動。全IDは出典一覧で確認。" display="S20 S21 / 設計モデル"/>
    <hyperlink ref="F8" location="'21_出典と確認範囲'!A16" tooltip="先頭の出典へ移動。全IDは出典一覧で確認。" display="設計モデル / S11 S21 S25"/>
    <hyperlink ref="F9" location="'21_出典と確認範囲'!A10" tooltip="先頭の出典へ移動。全IDは出典一覧で確認。" display="S05 S16 / 設計モデル"/>
    <hyperlink ref="F10" location="'21_出典と確認範囲'!A10" tooltip="先頭の出典へ移動。全IDは出典一覧で確認。" display="S05 S06 / 設計モデル"/>
    <hyperlink ref="F11" location="'21_出典と確認範囲'!A10" tooltip="先頭の出典へ移動。全IDは出典一覧で確認。" display="S05 S29 / 設計モデル"/>
    <hyperlink ref="F12" location="'21_出典と確認範囲'!A16" tooltip="先頭の出典へ移動。全IDは出典一覧で確認。" display="S11 S13 / 設計モデル"/>
    <hyperlink ref="F13" location="'21_出典と確認範囲'!A30" tooltip="先頭の出典へ移動。全IDは出典一覧で確認。" display="S25 / 設計モデル"/>
    <hyperlink ref="F14" location="'21_出典と確認範囲'!A25" tooltip="先頭の出典へ移動。全IDは出典一覧で確認。" display="S20 S21 / 設計モデル"/>
    <hyperlink ref="F17" location="'21_出典と確認範囲'!A8" tooltip="先頭の出典へ移動。全IDは出典一覧で確認。" display="S03 S34 / 設計判断"/>
    <hyperlink ref="F18" location="'21_出典と確認範囲'!A10" tooltip="先頭の出典へ移動。全IDは出典一覧で確認。" display="S05 S11 S19 / 設計判断"/>
    <hyperlink ref="F19" location="'21_出典と確認範囲'!A23" tooltip="先頭の出典へ移動。全IDは出典一覧で確認。" display="S18 S25 / 設計判断"/>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15.xml><?xml version="1.0" encoding="utf-8"?>
<worksheet xmlns="http://schemas.openxmlformats.org/spreadsheetml/2006/main" xmlns:r="http://schemas.openxmlformats.org/officeDocument/2006/relationships">
  <sheetPr>
    <tabColor rgb="FF18344B"/>
    <pageSetUpPr fitToPage="1"/>
  </sheetPr>
  <dimension ref="A1:F20"/>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88</v>
      </c>
      <c r="B1" s="2"/>
      <c r="C1" s="2"/>
      <c r="D1" s="2"/>
      <c r="E1" s="2"/>
      <c r="F1" s="2"/>
    </row>
    <row r="2" spans="1:6" ht="37" customHeight="1">
      <c r="A2" s="3" t="s">
        <v>89</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66.5" customHeight="1">
      <c r="A6" s="6">
        <v>1</v>
      </c>
      <c r="B6" s="7" t="s">
        <v>985</v>
      </c>
      <c r="C6" s="8" t="s">
        <v>986</v>
      </c>
      <c r="D6" s="9" t="s">
        <v>987</v>
      </c>
      <c r="E6" s="10" t="s">
        <v>988</v>
      </c>
      <c r="F6" s="11" t="s">
        <v>989</v>
      </c>
    </row>
    <row r="7" spans="1:6" ht="66.5" customHeight="1">
      <c r="A7" s="12">
        <v>2</v>
      </c>
      <c r="B7" s="13" t="s">
        <v>990</v>
      </c>
      <c r="C7" s="14" t="s">
        <v>991</v>
      </c>
      <c r="D7" s="1" t="s">
        <v>992</v>
      </c>
      <c r="E7" s="15" t="s">
        <v>993</v>
      </c>
      <c r="F7" s="16" t="s">
        <v>994</v>
      </c>
    </row>
    <row r="8" spans="1:6" ht="66.5" customHeight="1">
      <c r="A8" s="6">
        <v>3</v>
      </c>
      <c r="B8" s="7" t="s">
        <v>995</v>
      </c>
      <c r="C8" s="8" t="s">
        <v>996</v>
      </c>
      <c r="D8" s="9" t="s">
        <v>997</v>
      </c>
      <c r="E8" s="10" t="s">
        <v>998</v>
      </c>
      <c r="F8" s="11" t="s">
        <v>999</v>
      </c>
    </row>
    <row r="9" spans="1:6" ht="66.5" customHeight="1">
      <c r="A9" s="12">
        <v>4</v>
      </c>
      <c r="B9" s="13" t="s">
        <v>1000</v>
      </c>
      <c r="C9" s="14" t="s">
        <v>1001</v>
      </c>
      <c r="D9" s="1" t="s">
        <v>1002</v>
      </c>
      <c r="E9" s="15" t="s">
        <v>1003</v>
      </c>
      <c r="F9" s="16" t="s">
        <v>1004</v>
      </c>
    </row>
    <row r="10" spans="1:6" ht="84" customHeight="1">
      <c r="A10" s="6">
        <v>5</v>
      </c>
      <c r="B10" s="7" t="s">
        <v>1005</v>
      </c>
      <c r="C10" s="8" t="s">
        <v>1006</v>
      </c>
      <c r="D10" s="9" t="s">
        <v>1007</v>
      </c>
      <c r="E10" s="10" t="s">
        <v>1008</v>
      </c>
      <c r="F10" s="11" t="s">
        <v>1009</v>
      </c>
    </row>
    <row r="11" spans="1:6" ht="84" customHeight="1">
      <c r="A11" s="12">
        <v>6</v>
      </c>
      <c r="B11" s="13" t="s">
        <v>1010</v>
      </c>
      <c r="C11" s="14" t="s">
        <v>1011</v>
      </c>
      <c r="D11" s="1" t="s">
        <v>1012</v>
      </c>
      <c r="E11" s="15" t="s">
        <v>1013</v>
      </c>
      <c r="F11" s="16" t="s">
        <v>1014</v>
      </c>
    </row>
    <row r="12" spans="1:6" ht="66.5" customHeight="1">
      <c r="A12" s="6">
        <v>7</v>
      </c>
      <c r="B12" s="7" t="s">
        <v>1015</v>
      </c>
      <c r="C12" s="8" t="s">
        <v>1016</v>
      </c>
      <c r="D12" s="9" t="s">
        <v>1017</v>
      </c>
      <c r="E12" s="10" t="s">
        <v>1018</v>
      </c>
      <c r="F12" s="11" t="s">
        <v>1019</v>
      </c>
    </row>
    <row r="13" spans="1:6" ht="84" customHeight="1">
      <c r="A13" s="12">
        <v>8</v>
      </c>
      <c r="B13" s="13" t="s">
        <v>1020</v>
      </c>
      <c r="C13" s="14" t="s">
        <v>1021</v>
      </c>
      <c r="D13" s="1" t="s">
        <v>1022</v>
      </c>
      <c r="E13" s="15" t="s">
        <v>1023</v>
      </c>
      <c r="F13" s="16" t="s">
        <v>1024</v>
      </c>
    </row>
    <row r="14" spans="1:6" ht="84" customHeight="1">
      <c r="A14" s="6">
        <v>9</v>
      </c>
      <c r="B14" s="7" t="s">
        <v>1025</v>
      </c>
      <c r="C14" s="8" t="s">
        <v>1026</v>
      </c>
      <c r="D14" s="9" t="s">
        <v>1027</v>
      </c>
      <c r="E14" s="10" t="s">
        <v>1028</v>
      </c>
      <c r="F14" s="11" t="s">
        <v>1029</v>
      </c>
    </row>
    <row r="15" spans="1:6" ht="84" customHeight="1">
      <c r="A15" s="12">
        <v>10</v>
      </c>
      <c r="B15" s="13" t="s">
        <v>1030</v>
      </c>
      <c r="C15" s="14" t="s">
        <v>1031</v>
      </c>
      <c r="D15" s="1" t="s">
        <v>1032</v>
      </c>
      <c r="E15" s="15" t="s">
        <v>1033</v>
      </c>
      <c r="F15" s="16" t="s">
        <v>965</v>
      </c>
    </row>
    <row r="16" spans="1:6" ht="84" customHeight="1">
      <c r="A16" s="6">
        <v>11</v>
      </c>
      <c r="B16" s="7" t="s">
        <v>1034</v>
      </c>
      <c r="C16" s="8" t="s">
        <v>1035</v>
      </c>
      <c r="D16" s="9" t="s">
        <v>1036</v>
      </c>
      <c r="E16" s="10" t="s">
        <v>1037</v>
      </c>
      <c r="F16" s="11" t="s">
        <v>360</v>
      </c>
    </row>
    <row r="17" spans="1:6" ht="66.5" customHeight="1">
      <c r="A17" s="12">
        <v>12</v>
      </c>
      <c r="B17" s="13" t="s">
        <v>1038</v>
      </c>
      <c r="C17" s="14" t="s">
        <v>1039</v>
      </c>
      <c r="D17" s="1" t="s">
        <v>1040</v>
      </c>
      <c r="E17" s="15" t="s">
        <v>1041</v>
      </c>
      <c r="F17" s="16" t="s">
        <v>1042</v>
      </c>
    </row>
    <row r="18" spans="1:6" ht="84" customHeight="1">
      <c r="A18" s="6">
        <v>13</v>
      </c>
      <c r="B18" s="7" t="s">
        <v>1043</v>
      </c>
      <c r="C18" s="8" t="s">
        <v>1044</v>
      </c>
      <c r="D18" s="9" t="s">
        <v>1045</v>
      </c>
      <c r="E18" s="10" t="s">
        <v>1046</v>
      </c>
      <c r="F18" s="11" t="s">
        <v>1047</v>
      </c>
    </row>
    <row r="19" spans="1:6" ht="66.5" customHeight="1">
      <c r="A19" s="12">
        <v>14</v>
      </c>
      <c r="B19" s="13" t="s">
        <v>1048</v>
      </c>
      <c r="C19" s="14" t="s">
        <v>1049</v>
      </c>
      <c r="D19" s="1" t="s">
        <v>1050</v>
      </c>
      <c r="E19" s="15" t="s">
        <v>1051</v>
      </c>
      <c r="F19" s="16" t="s">
        <v>1052</v>
      </c>
    </row>
    <row r="20" spans="1:6" ht="84" customHeight="1">
      <c r="A20" s="6">
        <v>15</v>
      </c>
      <c r="B20" s="7" t="s">
        <v>1053</v>
      </c>
      <c r="C20" s="8" t="s">
        <v>1054</v>
      </c>
      <c r="D20" s="9" t="s">
        <v>1055</v>
      </c>
      <c r="E20" s="10" t="s">
        <v>1056</v>
      </c>
      <c r="F20" s="11" t="s">
        <v>1057</v>
      </c>
    </row>
  </sheetData>
  <autoFilter ref="A5:F20"/>
  <mergeCells count="3">
    <mergeCell ref="A1:F1"/>
    <mergeCell ref="A2:F2"/>
    <mergeCell ref="B3:F3"/>
  </mergeCells>
  <hyperlinks>
    <hyperlink ref="A3" location="'00_はじめに'!A1" display="目次"/>
    <hyperlink ref="F6" location="'21_出典と確認範囲'!A6" tooltip="先頭の出典へ移動。全IDは出典一覧で確認。" display="S01 / 設計例"/>
    <hyperlink ref="F7" location="'21_出典と確認範囲'!A13" tooltip="先頭の出典へ移動。全IDは出典一覧で確認。" display="S08 S10"/>
    <hyperlink ref="F8" location="'21_出典と確認範囲'!A6" tooltip="先頭の出典へ移動。全IDは出典一覧で確認。" display="S01 S05 / 設計例"/>
    <hyperlink ref="F9" location="'21_出典と確認範囲'!A10" tooltip="先頭の出典へ移動。全IDは出典一覧で確認。" display="S05 S07 / 設計例"/>
    <hyperlink ref="F10" location="'21_出典と確認範囲'!A10" tooltip="先頭の出典へ移動。全IDは出典一覧で確認。" display="S05 / 設計例"/>
    <hyperlink ref="F11" location="'21_出典と確認範囲'!A34" tooltip="先頭の出典へ移動。全IDは出典一覧で確認。" display="S29 S30 / 設計例"/>
    <hyperlink ref="F12" location="'21_出典と確認範囲'!A18" tooltip="先頭の出典へ移動。全IDは出典一覧で確認。" display="S13 S33 / 設計例"/>
    <hyperlink ref="F13" location="'21_出典と確認範囲'!A15" tooltip="先頭の出典へ移動。全IDは出典一覧で確認。" display="S10 S13 / 設計例"/>
    <hyperlink ref="F14" location="'21_出典と確認範囲'!A6" tooltip="先頭の出典へ移動。全IDは出典一覧で確認。" display="S01 S03 / 設計例"/>
    <hyperlink ref="F16" location="'21_出典と確認範囲'!A16" tooltip="先頭の出典へ移動。全IDは出典一覧で確認。" display="S11 S14 S15"/>
    <hyperlink ref="F17" location="'21_出典と確認範囲'!A10" tooltip="先頭の出典へ移動。全IDは出典一覧で確認。" display="設計例 / S05"/>
    <hyperlink ref="F18" location="'21_出典と確認範囲'!A10" tooltip="先頭の出典へ移動。全IDは出典一覧で確認。" display="S05 S10 S13 / 設計例"/>
    <hyperlink ref="F19" location="'21_出典と確認範囲'!A6" tooltip="先頭の出典へ移動。全IDは出典一覧で確認。" display="S01 S10 S18"/>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16.xml><?xml version="1.0" encoding="utf-8"?>
<worksheet xmlns="http://schemas.openxmlformats.org/spreadsheetml/2006/main" xmlns:r="http://schemas.openxmlformats.org/officeDocument/2006/relationships">
  <sheetPr>
    <tabColor rgb="FF145FA6"/>
    <pageSetUpPr fitToPage="1"/>
  </sheetPr>
  <dimension ref="A1:F34"/>
  <sheetViews>
    <sheetView showGridLines="0" zoomScale="90" zoomScaleNormal="90"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38.7109375" style="1" customWidth="1"/>
    <col min="2" max="2" width="18.7109375" style="1" customWidth="1"/>
    <col min="3" max="3" width="10.7109375" style="1" customWidth="1"/>
    <col min="4" max="4" width="36.7109375" style="1" customWidth="1"/>
    <col min="5" max="5" width="48.7109375" style="1" customWidth="1"/>
    <col min="6" max="6" width="13.7109375" style="1" customWidth="1"/>
  </cols>
  <sheetData>
    <row r="1" spans="1:6" ht="45" customHeight="1">
      <c r="A1" s="2" t="s">
        <v>1058</v>
      </c>
      <c r="B1" s="2"/>
      <c r="C1" s="2"/>
      <c r="D1" s="2"/>
      <c r="E1" s="2"/>
      <c r="F1" s="2"/>
    </row>
    <row r="2" spans="1:6" ht="37" customHeight="1">
      <c r="A2" s="3" t="s">
        <v>1059</v>
      </c>
      <c r="B2" s="3"/>
      <c r="C2" s="3"/>
      <c r="D2" s="3"/>
      <c r="E2" s="3"/>
      <c r="F2" s="3"/>
    </row>
    <row r="3" spans="1:6" ht="45" customHeight="1">
      <c r="A3" s="4" t="s">
        <v>2</v>
      </c>
      <c r="B3" s="3" t="s">
        <v>3</v>
      </c>
      <c r="C3" s="3"/>
      <c r="D3" s="3"/>
      <c r="E3" s="3"/>
      <c r="F3" s="3"/>
    </row>
    <row r="5" spans="1:6" ht="40" customHeight="1">
      <c r="A5" s="5" t="s">
        <v>1060</v>
      </c>
      <c r="B5" s="5" t="s">
        <v>1061</v>
      </c>
      <c r="C5" s="5" t="s">
        <v>1062</v>
      </c>
      <c r="D5" s="5" t="s">
        <v>1063</v>
      </c>
      <c r="E5" s="5" t="s">
        <v>1064</v>
      </c>
      <c r="F5" s="5" t="s">
        <v>1062</v>
      </c>
    </row>
    <row r="6" spans="1:6" ht="66" customHeight="1">
      <c r="A6" s="7" t="s">
        <v>1065</v>
      </c>
      <c r="B6" s="21">
        <v>60</v>
      </c>
      <c r="C6" s="6" t="s">
        <v>1066</v>
      </c>
      <c r="D6" s="7" t="s">
        <v>1067</v>
      </c>
      <c r="E6" s="19">
        <f>MAX(0,$B$6-$B$7)</f>
        <v>52</v>
      </c>
      <c r="F6" s="6" t="s">
        <v>1066</v>
      </c>
    </row>
    <row r="7" spans="1:6" ht="66" customHeight="1">
      <c r="A7" s="13" t="s">
        <v>1068</v>
      </c>
      <c r="B7" s="21">
        <v>8</v>
      </c>
      <c r="C7" s="12" t="s">
        <v>1066</v>
      </c>
      <c r="D7" s="13" t="s">
        <v>1069</v>
      </c>
      <c r="E7" s="19">
        <f>ROUNDUP(E6,0)</f>
        <v>52</v>
      </c>
      <c r="F7" s="12" t="s">
        <v>1066</v>
      </c>
    </row>
    <row r="8" spans="1:6" ht="66" customHeight="1">
      <c r="A8" s="7" t="s">
        <v>1070</v>
      </c>
      <c r="B8" s="21">
        <v>10</v>
      </c>
      <c r="C8" s="6" t="s">
        <v>1066</v>
      </c>
      <c r="D8" s="7" t="s">
        <v>1071</v>
      </c>
      <c r="E8" s="19">
        <f>IF(AND($B$10="true",$B$11="true"),IF(E6&lt;=0,"実行拒否",IF($B$9&gt;0,MIN(E7,$B$9),E7)),IF($B$9&gt;0,$B$9,$B$8))</f>
        <v>10</v>
      </c>
      <c r="F8" s="6" t="s">
        <v>1072</v>
      </c>
    </row>
    <row r="9" spans="1:6" ht="66" customHeight="1">
      <c r="A9" s="13" t="s">
        <v>1073</v>
      </c>
      <c r="B9" s="21">
        <v>10</v>
      </c>
      <c r="C9" s="12" t="s">
        <v>1066</v>
      </c>
      <c r="D9" s="13" t="s">
        <v>1074</v>
      </c>
      <c r="E9" s="19" t="str">
        <f>IF(E8="実行拒否","実行拒否",IF(AND($B$10="true",$B$11="true",$B$9=0),"JTA残りが優先（Qは上限でない）",IF($B$9&gt;0,"正の個別Pを使用","固定Qを使用")))</f>
        <v>正の個別Pを使用</v>
      </c>
      <c r="F9" s="12" t="s">
        <v>1076</v>
      </c>
    </row>
    <row r="10" spans="1:6" ht="66" customHeight="1">
      <c r="A10" s="7" t="s">
        <v>273</v>
      </c>
      <c r="B10" s="21" t="s">
        <v>654</v>
      </c>
      <c r="C10" s="6" t="s">
        <v>1077</v>
      </c>
      <c r="D10" s="7" t="s">
        <v>1078</v>
      </c>
      <c r="E10" s="19">
        <f>MAX($B$18,$B$19)+$B$20</f>
        <v>20</v>
      </c>
      <c r="F10" s="6" t="s">
        <v>1066</v>
      </c>
    </row>
    <row r="11" spans="1:6" ht="66" customHeight="1">
      <c r="A11" s="13" t="s">
        <v>1079</v>
      </c>
      <c r="B11" s="21" t="s">
        <v>654</v>
      </c>
      <c r="C11" s="12" t="s">
        <v>1077</v>
      </c>
      <c r="D11" s="13" t="s">
        <v>1080</v>
      </c>
      <c r="E11" s="19">
        <f>MAX(0,ROUNDDOWN(E6-E10,0))</f>
        <v>32</v>
      </c>
      <c r="F11" s="12" t="s">
        <v>1066</v>
      </c>
    </row>
    <row r="12" spans="1:6" ht="66" customHeight="1">
      <c r="A12" s="7" t="s">
        <v>1081</v>
      </c>
      <c r="B12" s="21">
        <v>5</v>
      </c>
      <c r="C12" s="6" t="s">
        <v>1066</v>
      </c>
      <c r="D12" s="7" t="s">
        <v>1082</v>
      </c>
      <c r="E12" s="19">
        <f>IF(E11&lt;1,"新SQLを開始しない",IF($B$9&gt;0,MIN($B$9,E11),IF($B$8&gt;0,MIN($B$8,E11),"個別SQL上限を設定")))</f>
        <v>10</v>
      </c>
      <c r="F12" s="6" t="s">
        <v>1083</v>
      </c>
    </row>
    <row r="13" spans="1:6" ht="66" customHeight="1">
      <c r="A13" s="13" t="s">
        <v>1084</v>
      </c>
      <c r="B13" s="21">
        <v>30000</v>
      </c>
      <c r="C13" s="12" t="s">
        <v>1085</v>
      </c>
      <c r="D13" s="13" t="s">
        <v>1086</v>
      </c>
      <c r="E13" s="19">
        <f>IF(IF($B$9&gt;0,$B$9,IF(AND($B$10="true",$B$11="true"),0,$B$8))&gt;0,$B$15/1000+$B$14/1000+$B$16+$B$17*IF($B$9&gt;0,$B$9,$B$8)+E10,"SQL上限未確定")</f>
        <v>52.0</v>
      </c>
      <c r="F13" s="12" t="s">
        <v>1066</v>
      </c>
    </row>
    <row r="14" spans="1:6" ht="66" customHeight="1">
      <c r="A14" s="7" t="s">
        <v>1087</v>
      </c>
      <c r="B14" s="21">
        <v>5000</v>
      </c>
      <c r="C14" s="6" t="s">
        <v>1085</v>
      </c>
      <c r="D14" s="7" t="s">
        <v>1088</v>
      </c>
      <c r="E14" s="19">
        <f>IF(ISNUMBER(E13),$B$6-E13,"未判定")</f>
        <v>8.0</v>
      </c>
      <c r="F14" s="6" t="s">
        <v>1066</v>
      </c>
    </row>
    <row r="15" spans="1:6" ht="66" customHeight="1">
      <c r="A15" s="13" t="s">
        <v>1089</v>
      </c>
      <c r="B15" s="21">
        <v>3000</v>
      </c>
      <c r="C15" s="12" t="s">
        <v>1085</v>
      </c>
      <c r="D15" s="13" t="s">
        <v>1090</v>
      </c>
      <c r="E15" s="19">
        <f>IF(ISNUMBER(E13),$B$21-E13,"未判定")</f>
        <v>38.0</v>
      </c>
      <c r="F15" s="12" t="s">
        <v>1066</v>
      </c>
    </row>
    <row r="16" spans="1:6" ht="66" customHeight="1">
      <c r="A16" s="7" t="s">
        <v>1091</v>
      </c>
      <c r="B16" s="21">
        <v>4</v>
      </c>
      <c r="C16" s="6" t="s">
        <v>1066</v>
      </c>
      <c r="D16" s="7" t="s">
        <v>1092</v>
      </c>
      <c r="E16" s="19" t="s">
        <v>1093</v>
      </c>
      <c r="F16" s="6" t="s">
        <v>1094</v>
      </c>
    </row>
    <row r="17" spans="1:6" ht="66" customHeight="1">
      <c r="A17" s="13" t="s">
        <v>1095</v>
      </c>
      <c r="B17" s="21">
        <v>2</v>
      </c>
      <c r="C17" s="12" t="s">
        <v>1096</v>
      </c>
      <c r="D17" s="13" t="s">
        <v>1097</v>
      </c>
      <c r="E17" s="19" t="str">
        <f>IF(ISNUMBER(E8),IF(E8=0,"SQL期限なし",IF($B$12&lt;E8,"行ロック待ちが短い","SQL実効値≦行ロック待ち")),"実行拒否")</f>
        <v>行ロック待ちが短い</v>
      </c>
      <c r="F17" s="12" t="s">
        <v>1099</v>
      </c>
    </row>
    <row r="18" spans="1:6" ht="66" customHeight="1">
      <c r="A18" s="7" t="s">
        <v>1100</v>
      </c>
      <c r="B18" s="21">
        <v>10</v>
      </c>
      <c r="C18" s="6" t="s">
        <v>1066</v>
      </c>
      <c r="D18" s="7" t="s">
        <v>1101</v>
      </c>
      <c r="E18" s="19" t="str">
        <f>IF(ISNUMBER(E8),IF(E8=0,"SQL期限なし",IF($B$13=0,"socket期限なし",IF(E8&lt;$B$13/1000,"SQL予定値が短い","socket設定を確認"))),"実行拒否")</f>
        <v>SQL予定値が短い</v>
      </c>
      <c r="F18" s="6" t="s">
        <v>1099</v>
      </c>
    </row>
    <row r="19" spans="1:6" ht="66" customHeight="1">
      <c r="A19" s="13" t="s">
        <v>1103</v>
      </c>
      <c r="B19" s="21">
        <v>15</v>
      </c>
      <c r="C19" s="12" t="s">
        <v>1066</v>
      </c>
      <c r="D19" s="13" t="s">
        <v>1104</v>
      </c>
      <c r="E19" s="19" t="str">
        <f>IF($B$21&gt;$B$6,"外側HはJTA Tより長い","外側が先に終了する可能性")</f>
        <v>外側HはJTA Tより長い</v>
      </c>
      <c r="F19" s="12" t="s">
        <v>1076</v>
      </c>
    </row>
    <row r="20" spans="1:6" ht="66" customHeight="1">
      <c r="A20" s="7" t="s">
        <v>1106</v>
      </c>
      <c r="B20" s="21">
        <v>5</v>
      </c>
      <c r="C20" s="6" t="s">
        <v>1066</v>
      </c>
      <c r="D20" s="7" t="s">
        <v>1107</v>
      </c>
      <c r="E20" s="19" t="str">
        <f>IF(ISNUMBER(E14),IF(AND(E14&gt;0,E15&gt;0),"予算の余裕あり（実機未検証）","予算不足または余裕0"),"SQL上限を確定して再計算")</f>
        <v>予算の余裕あり（実機未検証）</v>
      </c>
      <c r="F20" s="6" t="s">
        <v>1109</v>
      </c>
    </row>
    <row r="21" spans="1:6" ht="66" customHeight="1">
      <c r="A21" s="13" t="s">
        <v>1110</v>
      </c>
      <c r="B21" s="21">
        <v>90</v>
      </c>
      <c r="C21" s="12" t="s">
        <v>1066</v>
      </c>
      <c r="D21" s="13" t="s">
        <v>44</v>
      </c>
      <c r="E21" s="19" t="s">
        <v>44</v>
      </c>
      <c r="F21" s="12" t="s">
        <v>44</v>
      </c>
    </row>
    <row r="22" spans="1:6" ht="66" customHeight="1">
      <c r="A22" s="7" t="s">
        <v>263</v>
      </c>
      <c r="B22" s="21">
        <v>0</v>
      </c>
      <c r="C22" s="6" t="s">
        <v>1066</v>
      </c>
      <c r="D22" s="7" t="s">
        <v>44</v>
      </c>
      <c r="E22" s="19" t="s">
        <v>44</v>
      </c>
      <c r="F22" s="6" t="s">
        <v>44</v>
      </c>
    </row>
    <row r="25" spans="1:6" ht="38" customHeight="1">
      <c r="A25" s="5" t="s">
        <v>44</v>
      </c>
      <c r="B25" s="5" t="s">
        <v>1111</v>
      </c>
      <c r="C25" s="5" t="s">
        <v>44</v>
      </c>
      <c r="D25" s="5" t="s">
        <v>1076</v>
      </c>
      <c r="E25" s="5" t="s">
        <v>44</v>
      </c>
      <c r="F25" s="5" t="s">
        <v>44</v>
      </c>
    </row>
    <row r="26" spans="1:6" ht="66.5" customHeight="1">
      <c r="A26" s="6">
        <v>1</v>
      </c>
      <c r="B26" s="7" t="s">
        <v>1112</v>
      </c>
      <c r="C26" s="9" t="s">
        <v>44</v>
      </c>
      <c r="D26" s="9" t="s">
        <v>1113</v>
      </c>
      <c r="E26" s="10" t="s">
        <v>1114</v>
      </c>
      <c r="F26" s="11" t="s">
        <v>228</v>
      </c>
    </row>
    <row r="27" spans="1:6" ht="84" customHeight="1">
      <c r="A27" s="12">
        <v>2</v>
      </c>
      <c r="B27" s="13" t="s">
        <v>1115</v>
      </c>
      <c r="C27" s="1" t="s">
        <v>44</v>
      </c>
      <c r="D27" s="1" t="s">
        <v>1116</v>
      </c>
      <c r="E27" s="15" t="s">
        <v>1114</v>
      </c>
      <c r="F27" s="16" t="s">
        <v>228</v>
      </c>
    </row>
    <row r="28" spans="1:6" ht="66.5" customHeight="1">
      <c r="A28" s="6">
        <v>3</v>
      </c>
      <c r="B28" s="7" t="s">
        <v>1117</v>
      </c>
      <c r="C28" s="9" t="s">
        <v>44</v>
      </c>
      <c r="D28" s="9" t="s">
        <v>1118</v>
      </c>
      <c r="E28" s="10" t="s">
        <v>1114</v>
      </c>
      <c r="F28" s="11" t="s">
        <v>228</v>
      </c>
    </row>
    <row r="29" spans="1:6" ht="84" customHeight="1">
      <c r="A29" s="12">
        <v>4</v>
      </c>
      <c r="B29" s="13" t="s">
        <v>1119</v>
      </c>
      <c r="C29" s="1" t="s">
        <v>44</v>
      </c>
      <c r="D29" s="1" t="s">
        <v>1120</v>
      </c>
      <c r="E29" s="15" t="s">
        <v>1114</v>
      </c>
      <c r="F29" s="16" t="s">
        <v>228</v>
      </c>
    </row>
    <row r="30" spans="1:6" ht="84" customHeight="1">
      <c r="A30" s="6">
        <v>5</v>
      </c>
      <c r="B30" s="7" t="s">
        <v>1121</v>
      </c>
      <c r="C30" s="9" t="s">
        <v>44</v>
      </c>
      <c r="D30" s="9" t="s">
        <v>1122</v>
      </c>
      <c r="E30" s="10" t="s">
        <v>1114</v>
      </c>
      <c r="F30" s="11" t="s">
        <v>228</v>
      </c>
    </row>
    <row r="31" spans="1:6" ht="84" customHeight="1">
      <c r="A31" s="12">
        <v>6</v>
      </c>
      <c r="B31" s="13" t="s">
        <v>1123</v>
      </c>
      <c r="C31" s="1" t="s">
        <v>44</v>
      </c>
      <c r="D31" s="1" t="s">
        <v>1124</v>
      </c>
      <c r="E31" s="15" t="s">
        <v>1114</v>
      </c>
      <c r="F31" s="16" t="s">
        <v>228</v>
      </c>
    </row>
    <row r="32" spans="1:6" ht="84" customHeight="1">
      <c r="A32" s="6">
        <v>7</v>
      </c>
      <c r="B32" s="7" t="s">
        <v>1125</v>
      </c>
      <c r="C32" s="9" t="s">
        <v>44</v>
      </c>
      <c r="D32" s="9" t="s">
        <v>1126</v>
      </c>
      <c r="E32" s="10" t="s">
        <v>1114</v>
      </c>
      <c r="F32" s="11" t="s">
        <v>228</v>
      </c>
    </row>
    <row r="33" spans="1:6" ht="101.5" customHeight="1">
      <c r="A33" s="12">
        <v>8</v>
      </c>
      <c r="B33" s="13" t="s">
        <v>1127</v>
      </c>
      <c r="C33" s="1" t="s">
        <v>44</v>
      </c>
      <c r="D33" s="1" t="s">
        <v>1128</v>
      </c>
      <c r="E33" s="15" t="s">
        <v>1114</v>
      </c>
      <c r="F33" s="16" t="s">
        <v>228</v>
      </c>
    </row>
    <row r="34" spans="1:6" ht="101.5" customHeight="1">
      <c r="A34" s="6">
        <v>9</v>
      </c>
      <c r="B34" s="7" t="s">
        <v>1129</v>
      </c>
      <c r="C34" s="9" t="s">
        <v>44</v>
      </c>
      <c r="D34" s="9" t="s">
        <v>1130</v>
      </c>
      <c r="E34" s="10" t="s">
        <v>1114</v>
      </c>
      <c r="F34" s="11" t="s">
        <v>228</v>
      </c>
    </row>
  </sheetData>
  <mergeCells count="3">
    <mergeCell ref="A1:F1"/>
    <mergeCell ref="A2:F2"/>
    <mergeCell ref="B3:F3"/>
  </mergeCells>
  <conditionalFormatting sqref="E14:E15">
    <cfRule type="cellIs" dxfId="0" priority="1" operator="lessThanOrEqual">
      <formula>0</formula>
    </cfRule>
  </conditionalFormatting>
  <conditionalFormatting sqref="E20">
    <cfRule type="containsText" dxfId="0" priority="3" operator="containsText" text="予算不足">
      <formula>NOT(ISERROR(SEARCH("予算不足",E20)))</formula>
    </cfRule>
  </conditionalFormatting>
  <conditionalFormatting sqref="E9">
    <cfRule type="containsText" dxfId="1" priority="2" operator="containsText" text="Qは上限でない">
      <formula>NOT(ISERROR(SEARCH("Qは上限でない",E9)))</formula>
    </cfRule>
  </conditionalFormatting>
  <dataValidations count="17">
    <dataValidation type="whole" allowBlank="1" showInputMessage="1" showErrorMessage="1" errorTitle="入力の型・範囲を確認" error="指定された型・範囲内の値を入力してください。" promptTitle="教育用の設定入力" prompt="正の有限値の設計モデル。0/maximum-timeoutの管理モデルは03で説明。" sqref="B6">
      <formula1>1</formula1>
      <formula2>86400</formula2>
    </dataValidation>
    <dataValidation type="decimal" allowBlank="1" showInputMessage="1" showErrorMessage="1" errorTitle="入力の型・範囲を確認" error="指定された型・範囲内の値を入力してください。" promptTitle="教育用の設定入力" prompt="このtransactionのbeginからSQL開始判定まで。JTAなしなら残り欄はモデル上のみ。" sqref="B7">
      <formula1>0</formula1>
      <formula2>86400</formula2>
    </dataValidation>
    <dataValidation type="whole" allowBlank="1" showInputMessage="1" showErrorMessage="1" errorTitle="入力の型・範囲を確認" error="指定された型・範囲内の値を入力してください。" promptTitle="教育用の設定入力" prompt="datasource値。0=正の固定期限を設定しない。" sqref="B8">
      <formula1>0</formula1>
      <formula2>86400</formula2>
    </dataValidation>
    <dataValidation type="whole" allowBlank="1" showInputMessage="1" showErrorMessage="1" errorTitle="入力の型・範囲を確認" error="指定された型・範囲内の値を入力してください。" promptTitle="教育用の設定入力" prompt="正の個別指定。0=新しいStatementに正の明示値なし。" sqref="B9">
      <formula1>0</formula1>
      <formula2>86400</formula2>
    </dataValidation>
    <dataValidation type="list" allowBlank="1" showInputMessage="1" showErrorMessage="1" errorTitle="入力の型・範囲を確認" error="指定された型・範囲内の値を入力してください。" promptTitle="教育用の設定入力" prompt="true/false。残り時間の取得・優先順位を切り替える。" sqref="B10">
      <formula1>"true,false"</formula1>
    </dataValidation>
    <dataValidation type="list" allowBlank="1" showInputMessage="1" showErrorMessage="1" errorTitle="入力の型・範囲を確認" error="指定された型・範囲内の値を入力してください。" promptTitle="教育用の設定入力" prompt="true/false。falseならRはSQL設定に使わない。" sqref="B11">
      <formula1>"true,false"</formula1>
    </dataValidation>
    <dataValidation type="whole" allowBlank="1" showInputMessage="1" showErrorMessage="1" errorTitle="入力の型・範囲を確認" error="指定された型・範囲内の値を入力してください。" promptTitle="教育用の設定入力" prompt="innodb_lock_wait_timeout。待機側の行ロック対象。" sqref="B12">
      <formula1>1</formula1>
      <formula2>86400</formula2>
    </dataValidation>
    <dataValidation type="whole" allowBlank="1" showInputMessage="1" showErrorMessage="1" errorTitle="入力の型・範囲を確認" error="指定された型・範囲内の値を入力してください。" promptTitle="教育用の設定入力" prompt="read等のsocket待ち保護。transaction全体の上限ではない。" sqref="B13">
      <formula1>0</formula1>
      <formula2>86400000</formula2>
    </dataValidation>
    <dataValidation type="whole" allowBlank="1" showInputMessage="1" showErrorMessage="1" errorTitle="入力の型・範囲を確認" error="指定された型・範囲内の値を入力してください。" promptTitle="教育用の設定入力" prompt="起動済みwriter接続の検証候補。再開を許容する場合は別測定。" sqref="B14">
      <formula1>0</formula1>
      <formula2>86400000</formula2>
    </dataValidation>
    <dataValidation type="whole" allowBlank="1" showInputMessage="1" showErrorMessage="1" errorTitle="入力の型・範囲を確認" error="指定された型・範囲内の値を入力してください。" promptTitle="教育用の設定入力" prompt="blocking-timeout-wait-millis。接続作成全体の上限ではない。" sqref="B15">
      <formula1>0</formula1>
      <formula2>86400000</formula2>
    </dataValidation>
    <dataValidation type="whole" allowBlank="1" showInputMessage="1" showErrorMessage="1" errorTitle="入力の型・範囲を確認" error="指定された型・範囲内の値を入力してください。" promptTitle="教育用の設定入力" prompt="transaction内のCPU・確認処理等。flush SQLはSQL本数に含める。" sqref="B16">
      <formula1>0</formula1>
      <formula2>86400</formula2>
    </dataValidation>
    <dataValidation type="whole" allowBlank="1" showInputMessage="1" showErrorMessage="1" errorTitle="入力の型・範囲を確認" error="指定された型・範囲内の値を入力してください。" promptTitle="教育用の設定入力" prompt="保守的な直列モデル。実並列処理や経路分岐とは別。" sqref="B17">
      <formula1>1</formula1>
      <formula2>10000</formula2>
    </dataValidation>
    <dataValidation type="whole" allowBlank="1" showInputMessage="1" showErrorMessage="1" errorTitle="入力の型・範囲を確認" error="指定された型・範囲内の値を入力してください。" promptTitle="教育用の設定入力" prompt="測定すべき説明用予算。厳密な障害時上限ではない。" sqref="B18">
      <formula1>0</formula1>
      <formula2>86400</formula2>
    </dataValidation>
    <dataValidation type="whole" allowBlank="1" showInputMessage="1" showErrorMessage="1" errorTitle="入力の型・範囲を確認" error="指定された型・範囲内の値を入力してください。" promptTitle="教育用の設定入力" prompt="測定すべき説明用予算。recoveryの総時間ではない。" sqref="B19">
      <formula1>0</formula1>
      <formula2>86400</formula2>
    </dataValidation>
    <dataValidation type="whole" allowBlank="1" showInputMessage="1" showErrorMessage="1" errorTitle="入力の型・範囲を確認" error="指定された型・範囲内の値を入力してください。" promptTitle="教育用の設定入力" prompt="丸め、dispatch、同期処理等の余裕の説明値。" sqref="B20">
      <formula1>0</formula1>
      <formula2>86400</formula2>
    </dataValidation>
    <dataValidation type="whole" allowBlank="1" showInputMessage="1" showErrorMessage="1" errorTitle="入力の型・範囲を確認" error="指定された型・範囲内の値を入力してください。" promptTitle="教育用の設定入力" prompt="request全体の例。transaction前後の処理も必要。" sqref="B21">
      <formula1>0</formula1>
      <formula2>86400</formula2>
    </dataValidation>
    <dataValidation type="whole" allowBlank="1" showInputMessage="1" showErrorMessage="1" errorTitle="入力の型・範囲を確認" error="指定された型・範囲内の値を入力してください。" promptTitle="教育用の設定入力" prompt="本環境のConnector/J9.7.0ではRM期限を設定できない。" sqref="B22">
      <formula1>0</formula1>
      <formula2>86400</formula2>
    </dataValidation>
  </dataValidations>
  <hyperlinks>
    <hyperlink ref="A3" location="'00_はじめに'!A1" display="目次"/>
    <hyperlink ref="F26" location="'21_出典と確認範囲'!A10" tooltip="先頭の出典へ移動。全IDは出典一覧で確認。" display="S05 S06"/>
    <hyperlink ref="F27" location="'21_出典と確認範囲'!A10" tooltip="先頭の出典へ移動。全IDは出典一覧で確認。" display="S05 S06"/>
    <hyperlink ref="F28" location="'21_出典と確認範囲'!A10" tooltip="先頭の出典へ移動。全IDは出典一覧で確認。" display="S05 S06"/>
    <hyperlink ref="F29" location="'21_出典と確認範囲'!A10" tooltip="先頭の出典へ移動。全IDは出典一覧で確認。" display="S05 S06"/>
    <hyperlink ref="F30" location="'21_出典と確認範囲'!A10" tooltip="先頭の出典へ移動。全IDは出典一覧で確認。" display="S05 S06"/>
    <hyperlink ref="F31" location="'21_出典と確認範囲'!A10" tooltip="先頭の出典へ移動。全IDは出典一覧で確認。" display="S05 S06"/>
    <hyperlink ref="F32" location="'21_出典と確認範囲'!A10" tooltip="先頭の出典へ移動。全IDは出典一覧で確認。" display="S05 S06"/>
    <hyperlink ref="F33" location="'21_出典と確認範囲'!A10" tooltip="先頭の出典へ移動。全IDは出典一覧で確認。" display="S05 S06"/>
    <hyperlink ref="F34" location="'21_出典と確認範囲'!A10" tooltip="先頭の出典へ移動。全IDは出典一覧で確認。" display="S05 S06"/>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17.xml><?xml version="1.0" encoding="utf-8"?>
<worksheet xmlns="http://schemas.openxmlformats.org/spreadsheetml/2006/main" xmlns:r="http://schemas.openxmlformats.org/officeDocument/2006/relationships">
  <sheetPr>
    <tabColor rgb="FF006E78"/>
    <pageSetUpPr fitToPage="1"/>
  </sheetPr>
  <dimension ref="A1:F23"/>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94</v>
      </c>
      <c r="B1" s="2"/>
      <c r="C1" s="2"/>
      <c r="D1" s="2"/>
      <c r="E1" s="2"/>
      <c r="F1" s="2"/>
    </row>
    <row r="2" spans="1:6" ht="37" customHeight="1">
      <c r="A2" s="3" t="s">
        <v>95</v>
      </c>
      <c r="B2" s="3"/>
      <c r="C2" s="3"/>
      <c r="D2" s="3"/>
      <c r="E2" s="3"/>
      <c r="F2" s="3"/>
    </row>
    <row r="3" spans="1:6" ht="29" customHeight="1">
      <c r="A3" s="4" t="s">
        <v>2</v>
      </c>
      <c r="B3" s="3" t="s">
        <v>3</v>
      </c>
      <c r="C3" s="3"/>
      <c r="D3" s="3"/>
      <c r="E3" s="3"/>
      <c r="F3" s="3"/>
    </row>
    <row r="5" spans="1:6" ht="40" customHeight="1">
      <c r="A5" s="5" t="s">
        <v>4</v>
      </c>
      <c r="B5" s="5" t="s">
        <v>115</v>
      </c>
      <c r="C5" s="5" t="s">
        <v>116</v>
      </c>
      <c r="D5" s="5" t="s">
        <v>1131</v>
      </c>
      <c r="E5" s="5" t="s">
        <v>118</v>
      </c>
      <c r="F5" s="5" t="s">
        <v>119</v>
      </c>
    </row>
    <row r="6" spans="1:6" ht="101.5" customHeight="1">
      <c r="A6" s="6">
        <v>1</v>
      </c>
      <c r="B6" s="7" t="s">
        <v>1132</v>
      </c>
      <c r="C6" s="8" t="s">
        <v>1133</v>
      </c>
      <c r="D6" s="9" t="s">
        <v>1134</v>
      </c>
      <c r="E6" s="10" t="s">
        <v>1135</v>
      </c>
      <c r="F6" s="11" t="s">
        <v>1136</v>
      </c>
    </row>
    <row r="7" spans="1:6" ht="84" customHeight="1">
      <c r="A7" s="12">
        <v>2</v>
      </c>
      <c r="B7" s="13" t="s">
        <v>1137</v>
      </c>
      <c r="C7" s="14" t="s">
        <v>1138</v>
      </c>
      <c r="D7" s="1" t="s">
        <v>1139</v>
      </c>
      <c r="E7" s="15" t="s">
        <v>1140</v>
      </c>
      <c r="F7" s="16" t="s">
        <v>1136</v>
      </c>
    </row>
    <row r="8" spans="1:6" ht="84" customHeight="1">
      <c r="A8" s="6">
        <v>3</v>
      </c>
      <c r="B8" s="7" t="s">
        <v>1141</v>
      </c>
      <c r="C8" s="8" t="s">
        <v>1142</v>
      </c>
      <c r="D8" s="9" t="s">
        <v>1143</v>
      </c>
      <c r="E8" s="10" t="s">
        <v>1144</v>
      </c>
      <c r="F8" s="11" t="s">
        <v>1136</v>
      </c>
    </row>
    <row r="9" spans="1:6" ht="154" customHeight="1">
      <c r="A9" s="12">
        <v>4</v>
      </c>
      <c r="B9" s="13" t="s">
        <v>1145</v>
      </c>
      <c r="C9" s="14" t="s">
        <v>1146</v>
      </c>
      <c r="D9" s="1" t="s">
        <v>1147</v>
      </c>
      <c r="E9" s="15" t="s">
        <v>1148</v>
      </c>
      <c r="F9" s="16" t="s">
        <v>1149</v>
      </c>
    </row>
    <row r="10" spans="1:6" ht="136.5" customHeight="1">
      <c r="A10" s="6">
        <v>5</v>
      </c>
      <c r="B10" s="7" t="s">
        <v>1150</v>
      </c>
      <c r="C10" s="8" t="s">
        <v>1151</v>
      </c>
      <c r="D10" s="9" t="s">
        <v>1152</v>
      </c>
      <c r="E10" s="10" t="s">
        <v>1153</v>
      </c>
      <c r="F10" s="11" t="s">
        <v>1154</v>
      </c>
    </row>
    <row r="11" spans="1:6" ht="66.5" customHeight="1">
      <c r="A11" s="12">
        <v>6</v>
      </c>
      <c r="B11" s="13" t="s">
        <v>1155</v>
      </c>
      <c r="C11" s="14" t="s">
        <v>1156</v>
      </c>
      <c r="D11" s="1" t="s">
        <v>1157</v>
      </c>
      <c r="E11" s="15" t="s">
        <v>1158</v>
      </c>
      <c r="F11" s="16" t="s">
        <v>1159</v>
      </c>
    </row>
    <row r="12" spans="1:6" ht="84" customHeight="1">
      <c r="A12" s="6">
        <v>7</v>
      </c>
      <c r="B12" s="7" t="s">
        <v>1160</v>
      </c>
      <c r="C12" s="8" t="s">
        <v>1161</v>
      </c>
      <c r="D12" s="9" t="s">
        <v>1162</v>
      </c>
      <c r="E12" s="10" t="s">
        <v>1163</v>
      </c>
      <c r="F12" s="11" t="s">
        <v>1164</v>
      </c>
    </row>
    <row r="13" spans="1:6" ht="84" customHeight="1">
      <c r="A13" s="12">
        <v>8</v>
      </c>
      <c r="B13" s="13" t="s">
        <v>1165</v>
      </c>
      <c r="C13" s="14" t="s">
        <v>1166</v>
      </c>
      <c r="D13" s="1" t="s">
        <v>1167</v>
      </c>
      <c r="E13" s="15" t="s">
        <v>1168</v>
      </c>
      <c r="F13" s="16" t="s">
        <v>1169</v>
      </c>
    </row>
    <row r="14" spans="1:6" ht="84" customHeight="1">
      <c r="A14" s="6">
        <v>9</v>
      </c>
      <c r="B14" s="7" t="s">
        <v>1170</v>
      </c>
      <c r="C14" s="8" t="s">
        <v>1171</v>
      </c>
      <c r="D14" s="9" t="s">
        <v>1172</v>
      </c>
      <c r="E14" s="10" t="s">
        <v>1173</v>
      </c>
      <c r="F14" s="11" t="s">
        <v>1174</v>
      </c>
    </row>
    <row r="15" spans="1:6" ht="84" customHeight="1">
      <c r="A15" s="12">
        <v>10</v>
      </c>
      <c r="B15" s="13" t="s">
        <v>1175</v>
      </c>
      <c r="C15" s="14" t="s">
        <v>1176</v>
      </c>
      <c r="D15" s="1" t="s">
        <v>1177</v>
      </c>
      <c r="E15" s="15" t="s">
        <v>1178</v>
      </c>
      <c r="F15" s="16" t="s">
        <v>312</v>
      </c>
    </row>
    <row r="16" spans="1:6" ht="136.5" customHeight="1">
      <c r="A16" s="6">
        <v>11</v>
      </c>
      <c r="B16" s="7" t="s">
        <v>1179</v>
      </c>
      <c r="C16" s="8" t="s">
        <v>1180</v>
      </c>
      <c r="D16" s="9" t="s">
        <v>1181</v>
      </c>
      <c r="E16" s="10" t="s">
        <v>1182</v>
      </c>
      <c r="F16" s="11" t="s">
        <v>1183</v>
      </c>
    </row>
    <row r="17" spans="1:6" ht="84" customHeight="1">
      <c r="A17" s="12">
        <v>12</v>
      </c>
      <c r="B17" s="13" t="s">
        <v>1184</v>
      </c>
      <c r="C17" s="14" t="s">
        <v>1185</v>
      </c>
      <c r="D17" s="1" t="s">
        <v>1186</v>
      </c>
      <c r="E17" s="15" t="s">
        <v>1187</v>
      </c>
      <c r="F17" s="16" t="s">
        <v>1136</v>
      </c>
    </row>
    <row r="18" spans="1:6" ht="119" customHeight="1">
      <c r="A18" s="6">
        <v>13</v>
      </c>
      <c r="B18" s="7" t="s">
        <v>1188</v>
      </c>
      <c r="C18" s="8" t="s">
        <v>1189</v>
      </c>
      <c r="D18" s="9" t="s">
        <v>1190</v>
      </c>
      <c r="E18" s="10" t="s">
        <v>1191</v>
      </c>
      <c r="F18" s="11" t="s">
        <v>1192</v>
      </c>
    </row>
    <row r="19" spans="1:6" ht="119" customHeight="1">
      <c r="A19" s="12">
        <v>14</v>
      </c>
      <c r="B19" s="13" t="s">
        <v>1193</v>
      </c>
      <c r="C19" s="14" t="s">
        <v>1194</v>
      </c>
      <c r="D19" s="1" t="s">
        <v>1195</v>
      </c>
      <c r="E19" s="15" t="s">
        <v>1196</v>
      </c>
      <c r="F19" s="16" t="s">
        <v>1197</v>
      </c>
    </row>
    <row r="20" spans="1:6" ht="189" customHeight="1">
      <c r="A20" s="6">
        <v>15</v>
      </c>
      <c r="B20" s="7" t="s">
        <v>1198</v>
      </c>
      <c r="C20" s="8" t="s">
        <v>1199</v>
      </c>
      <c r="D20" s="9" t="s">
        <v>1200</v>
      </c>
      <c r="E20" s="10" t="s">
        <v>1201</v>
      </c>
      <c r="F20" s="11" t="s">
        <v>1202</v>
      </c>
    </row>
    <row r="21" spans="1:6" ht="101.5" customHeight="1">
      <c r="A21" s="12">
        <v>16</v>
      </c>
      <c r="B21" s="13" t="s">
        <v>1203</v>
      </c>
      <c r="C21" s="14" t="s">
        <v>1204</v>
      </c>
      <c r="D21" s="1" t="s">
        <v>1205</v>
      </c>
      <c r="E21" s="15" t="s">
        <v>1206</v>
      </c>
      <c r="F21" s="16" t="s">
        <v>1136</v>
      </c>
    </row>
    <row r="22" spans="1:6" ht="84" customHeight="1">
      <c r="A22" s="6">
        <v>17</v>
      </c>
      <c r="B22" s="7" t="s">
        <v>1207</v>
      </c>
      <c r="C22" s="8" t="s">
        <v>1208</v>
      </c>
      <c r="D22" s="9" t="s">
        <v>1209</v>
      </c>
      <c r="E22" s="10" t="s">
        <v>1210</v>
      </c>
      <c r="F22" s="11" t="s">
        <v>1211</v>
      </c>
    </row>
    <row r="23" spans="1:6" ht="84" customHeight="1">
      <c r="A23" s="12">
        <v>18</v>
      </c>
      <c r="B23" s="13" t="s">
        <v>1212</v>
      </c>
      <c r="C23" s="14" t="s">
        <v>1213</v>
      </c>
      <c r="D23" s="1" t="s">
        <v>1214</v>
      </c>
      <c r="E23" s="15" t="s">
        <v>1215</v>
      </c>
      <c r="F23" s="16" t="s">
        <v>1216</v>
      </c>
    </row>
  </sheetData>
  <autoFilter ref="A5:F23"/>
  <mergeCells count="3">
    <mergeCell ref="A1:F1"/>
    <mergeCell ref="A2:F2"/>
    <mergeCell ref="B3:F3"/>
  </mergeCells>
  <hyperlinks>
    <hyperlink ref="A3" location="'00_はじめに'!A1" display="目次"/>
    <hyperlink ref="F6" location="'21_出典と確認範囲'!A6" tooltip="先頭の出典へ移動。全IDは出典一覧で確認。" display="S01 S03"/>
    <hyperlink ref="F7" location="'21_出典と確認範囲'!A6" tooltip="先頭の出典へ移動。全IDは出典一覧で確認。" display="S01 S03"/>
    <hyperlink ref="F8" location="'21_出典と確認範囲'!A6" tooltip="先頭の出典へ移動。全IDは出典一覧で確認。" display="S01 S03"/>
    <hyperlink ref="F9" location="'21_出典と確認範囲'!A6" tooltip="先頭の出典へ移動。全IDは出典一覧で確認。" display="S01 S08 S09 S10"/>
    <hyperlink ref="F10" location="'21_出典と確認範囲'!A8" tooltip="先頭の出典へ移動。全IDは出典一覧で確認。" display="S03 S10"/>
    <hyperlink ref="F11" location="'21_出典と確認範囲'!A34" tooltip="先頭の出典へ移動。全IDは出典一覧で確認。" display="S29 S31"/>
    <hyperlink ref="F12" location="'21_出典と確認範囲'!A32" tooltip="先頭の出典へ移動。全IDは出典一覧で確認。" display="S27 S29 S30 S41"/>
    <hyperlink ref="F13" location="'21_出典と確認範囲'!A32" tooltip="先頭の出典へ移動。全IDは出典一覧で確認。" display="S27 S40"/>
    <hyperlink ref="F14" location="'21_出典と確認範囲'!A34" tooltip="先頭の出典へ移動。全IDは出典一覧で確認。" display="S29 / 検証計画"/>
    <hyperlink ref="F15" location="'21_出典と確認範囲'!A6" tooltip="先頭の出典へ移動。全IDは出典一覧で確認。" display="S01"/>
    <hyperlink ref="F16" location="'21_出典と確認範囲'!A6" tooltip="先頭の出典へ移動。全IDは出典一覧で確認。" display="S01 S05 S10"/>
    <hyperlink ref="F17" location="'21_出典と確認範囲'!A6" tooltip="先頭の出典へ移動。全IDは出典一覧で確認。" display="S01 S03"/>
    <hyperlink ref="F18" location="'21_出典と確認範囲'!A8" tooltip="先頭の出典へ移動。全IDは出典一覧で確認。" display="S03 S10 S13"/>
    <hyperlink ref="F19" location="'21_出典と確認範囲'!A8" tooltip="先頭の出典へ移動。全IDは出典一覧で確認。" display="S03 S14 S15"/>
    <hyperlink ref="F20" location="'21_出典と確認範囲'!A6" tooltip="先頭の出典へ移動。全IDは出典一覧で確認。" display="S01 S37"/>
    <hyperlink ref="F21" location="'21_出典と確認範囲'!A6" tooltip="先頭の出典へ移動。全IDは出典一覧で確認。" display="S01 S03"/>
    <hyperlink ref="F22" location="'21_出典と確認範囲'!A8" tooltip="先頭の出典へ移動。全IDは出典一覧で確認。" display="S03 / 検証計画"/>
    <hyperlink ref="F23" location="'21_出典と確認範囲'!A6" tooltip="先頭の出典へ移動。全IDは出典一覧で確認。" display="S01 S03 / 検証手順"/>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18.xml><?xml version="1.0" encoding="utf-8"?>
<worksheet xmlns="http://schemas.openxmlformats.org/spreadsheetml/2006/main" xmlns:r="http://schemas.openxmlformats.org/officeDocument/2006/relationships">
  <sheetPr>
    <tabColor rgb="FF006E78"/>
    <pageSetUpPr fitToPage="1"/>
  </sheetPr>
  <dimension ref="A1:F15"/>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97</v>
      </c>
      <c r="B1" s="2"/>
      <c r="C1" s="2"/>
      <c r="D1" s="2"/>
      <c r="E1" s="2"/>
      <c r="F1" s="2"/>
    </row>
    <row r="2" spans="1:6" ht="37" customHeight="1">
      <c r="A2" s="3" t="s">
        <v>98</v>
      </c>
      <c r="B2" s="3"/>
      <c r="C2" s="3"/>
      <c r="D2" s="3"/>
      <c r="E2" s="3"/>
      <c r="F2" s="3"/>
    </row>
    <row r="3" spans="1:6" ht="29" customHeight="1">
      <c r="A3" s="4" t="s">
        <v>2</v>
      </c>
      <c r="B3" s="3" t="s">
        <v>3</v>
      </c>
      <c r="C3" s="3"/>
      <c r="D3" s="3"/>
      <c r="E3" s="3"/>
      <c r="F3" s="3"/>
    </row>
    <row r="5" spans="1:6" ht="40" customHeight="1">
      <c r="A5" s="5" t="s">
        <v>4</v>
      </c>
      <c r="B5" s="5" t="s">
        <v>115</v>
      </c>
      <c r="C5" s="5" t="s">
        <v>116</v>
      </c>
      <c r="D5" s="5" t="s">
        <v>1217</v>
      </c>
      <c r="E5" s="5" t="s">
        <v>118</v>
      </c>
      <c r="F5" s="5" t="s">
        <v>119</v>
      </c>
    </row>
    <row r="6" spans="1:6" ht="136.5" customHeight="1">
      <c r="A6" s="6">
        <v>1</v>
      </c>
      <c r="B6" s="7" t="s">
        <v>1218</v>
      </c>
      <c r="C6" s="8" t="s">
        <v>1219</v>
      </c>
      <c r="D6" s="9" t="s">
        <v>1220</v>
      </c>
      <c r="E6" s="10" t="s">
        <v>1221</v>
      </c>
      <c r="F6" s="11" t="s">
        <v>1222</v>
      </c>
    </row>
    <row r="7" spans="1:6" ht="101.5" customHeight="1">
      <c r="A7" s="12">
        <v>2</v>
      </c>
      <c r="B7" s="13" t="s">
        <v>1223</v>
      </c>
      <c r="C7" s="14" t="s">
        <v>1224</v>
      </c>
      <c r="D7" s="1" t="s">
        <v>1225</v>
      </c>
      <c r="E7" s="15" t="s">
        <v>1226</v>
      </c>
      <c r="F7" s="16" t="s">
        <v>1227</v>
      </c>
    </row>
    <row r="8" spans="1:6" ht="101.5" customHeight="1">
      <c r="A8" s="6">
        <v>3</v>
      </c>
      <c r="B8" s="7" t="s">
        <v>1228</v>
      </c>
      <c r="C8" s="8" t="s">
        <v>1229</v>
      </c>
      <c r="D8" s="9" t="s">
        <v>1230</v>
      </c>
      <c r="E8" s="10" t="s">
        <v>1231</v>
      </c>
      <c r="F8" s="11" t="s">
        <v>1232</v>
      </c>
    </row>
    <row r="9" spans="1:6" ht="136.5" customHeight="1">
      <c r="A9" s="12">
        <v>4</v>
      </c>
      <c r="B9" s="13" t="s">
        <v>1233</v>
      </c>
      <c r="C9" s="14" t="s">
        <v>1234</v>
      </c>
      <c r="D9" s="1" t="s">
        <v>1235</v>
      </c>
      <c r="E9" s="15" t="s">
        <v>1236</v>
      </c>
      <c r="F9" s="16" t="s">
        <v>208</v>
      </c>
    </row>
    <row r="10" spans="1:6" ht="171.5" customHeight="1">
      <c r="A10" s="6">
        <v>5</v>
      </c>
      <c r="B10" s="7" t="s">
        <v>1237</v>
      </c>
      <c r="C10" s="8" t="s">
        <v>1238</v>
      </c>
      <c r="D10" s="9" t="s">
        <v>1239</v>
      </c>
      <c r="E10" s="10" t="s">
        <v>1240</v>
      </c>
      <c r="F10" s="11" t="s">
        <v>1241</v>
      </c>
    </row>
    <row r="11" spans="1:6" ht="136.5" customHeight="1">
      <c r="A11" s="12">
        <v>6</v>
      </c>
      <c r="B11" s="13" t="s">
        <v>1242</v>
      </c>
      <c r="C11" s="14" t="s">
        <v>1243</v>
      </c>
      <c r="D11" s="1" t="s">
        <v>1244</v>
      </c>
      <c r="E11" s="15" t="s">
        <v>1245</v>
      </c>
      <c r="F11" s="16" t="s">
        <v>1246</v>
      </c>
    </row>
    <row r="12" spans="1:6" ht="119" customHeight="1">
      <c r="A12" s="6">
        <v>7</v>
      </c>
      <c r="B12" s="7" t="s">
        <v>1247</v>
      </c>
      <c r="C12" s="8" t="s">
        <v>1248</v>
      </c>
      <c r="D12" s="9" t="s">
        <v>1249</v>
      </c>
      <c r="E12" s="10" t="s">
        <v>1250</v>
      </c>
      <c r="F12" s="11" t="s">
        <v>1251</v>
      </c>
    </row>
    <row r="13" spans="1:6" ht="84" customHeight="1">
      <c r="A13" s="12">
        <v>8</v>
      </c>
      <c r="B13" s="13" t="s">
        <v>1252</v>
      </c>
      <c r="C13" s="14" t="s">
        <v>1253</v>
      </c>
      <c r="D13" s="1" t="s">
        <v>1254</v>
      </c>
      <c r="E13" s="15" t="s">
        <v>1255</v>
      </c>
      <c r="F13" s="16" t="s">
        <v>1256</v>
      </c>
    </row>
    <row r="14" spans="1:6" ht="84" customHeight="1">
      <c r="A14" s="6">
        <v>9</v>
      </c>
      <c r="B14" s="7" t="s">
        <v>1257</v>
      </c>
      <c r="C14" s="8" t="s">
        <v>1258</v>
      </c>
      <c r="D14" s="9" t="s">
        <v>1259</v>
      </c>
      <c r="E14" s="10" t="s">
        <v>1260</v>
      </c>
      <c r="F14" s="11" t="s">
        <v>1261</v>
      </c>
    </row>
    <row r="15" spans="1:6" ht="66.5" customHeight="1">
      <c r="A15" s="12">
        <v>10</v>
      </c>
      <c r="B15" s="13" t="s">
        <v>1262</v>
      </c>
      <c r="C15" s="14" t="s">
        <v>1263</v>
      </c>
      <c r="D15" s="1" t="s">
        <v>1264</v>
      </c>
      <c r="E15" s="15" t="s">
        <v>1265</v>
      </c>
      <c r="F15" s="16" t="s">
        <v>1266</v>
      </c>
    </row>
  </sheetData>
  <autoFilter ref="A5:F15"/>
  <mergeCells count="3">
    <mergeCell ref="A1:F1"/>
    <mergeCell ref="A2:F2"/>
    <mergeCell ref="B3:F3"/>
  </mergeCells>
  <hyperlinks>
    <hyperlink ref="A3" location="'00_はじめに'!A1" display="目次"/>
    <hyperlink ref="F6" location="'21_出典と確認範囲'!A23" tooltip="先頭の出典へ移動。全IDは出典一覧で確認。" display="S18 S42"/>
    <hyperlink ref="F7" location="'21_出典と確認範囲'!A22" tooltip="先頭の出典へ移動。全IDは出典一覧で確認。" display="S17 S18"/>
    <hyperlink ref="F8" location="'21_出典と確認範囲'!A23" tooltip="先頭の出典へ移動。全IDは出典一覧で確認。" display="S18 / 設計例"/>
    <hyperlink ref="F9" location="'21_出典と確認範囲'!A21" tooltip="先頭の出典へ移動。全IDは出典一覧で確認。" display="S16 / 設計例"/>
    <hyperlink ref="F10" location="'21_出典と確認範囲'!A10" tooltip="先頭の出典へ移動。全IDは出典一覧で確認。" display="S05 S07 S16 / 設計例"/>
    <hyperlink ref="F11" location="'21_出典と確認範囲'!A25" tooltip="先頭の出典へ移動。全IDは出典一覧で確認。" display="S20 S21 / 設計例"/>
    <hyperlink ref="F12" location="'21_出典と確認範囲'!A23" tooltip="先頭の出典へ移動。全IDは出典一覧で確認。" display="S18 S23 S25 / 実装方針"/>
    <hyperlink ref="F13" location="'21_出典と確認範囲'!A23" tooltip="先頭の出典へ移動。全IDは出典一覧で確認。" display="S18 / 実装方針"/>
    <hyperlink ref="F14" location="'21_出典と確認範囲'!A21" tooltip="先頭の出典へ移動。全IDは出典一覧で確認。" display="S16 S20 / 未確認ORM"/>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19.xml><?xml version="1.0" encoding="utf-8"?>
<worksheet xmlns="http://schemas.openxmlformats.org/spreadsheetml/2006/main" xmlns:r="http://schemas.openxmlformats.org/officeDocument/2006/relationships">
  <sheetPr>
    <tabColor rgb="FF006E78"/>
    <pageSetUpPr fitToPage="1"/>
  </sheetPr>
  <dimension ref="A1:F21"/>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100</v>
      </c>
      <c r="B1" s="2"/>
      <c r="C1" s="2"/>
      <c r="D1" s="2"/>
      <c r="E1" s="2"/>
      <c r="F1" s="2"/>
    </row>
    <row r="2" spans="1:6" ht="37" customHeight="1">
      <c r="A2" s="3" t="s">
        <v>101</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66.5" customHeight="1">
      <c r="A6" s="6">
        <v>1</v>
      </c>
      <c r="B6" s="7" t="s">
        <v>1267</v>
      </c>
      <c r="C6" s="8" t="s">
        <v>1268</v>
      </c>
      <c r="D6" s="9" t="s">
        <v>1269</v>
      </c>
      <c r="E6" s="10" t="s">
        <v>1270</v>
      </c>
      <c r="F6" s="11" t="s">
        <v>1271</v>
      </c>
    </row>
    <row r="7" spans="1:6" ht="84" customHeight="1">
      <c r="A7" s="12">
        <v>2</v>
      </c>
      <c r="B7" s="13" t="s">
        <v>1272</v>
      </c>
      <c r="C7" s="14" t="s">
        <v>1273</v>
      </c>
      <c r="D7" s="1" t="s">
        <v>1274</v>
      </c>
      <c r="E7" s="15" t="s">
        <v>1275</v>
      </c>
      <c r="F7" s="16" t="s">
        <v>1276</v>
      </c>
    </row>
    <row r="8" spans="1:6" ht="66.5" customHeight="1">
      <c r="A8" s="6">
        <v>3</v>
      </c>
      <c r="B8" s="7" t="s">
        <v>1277</v>
      </c>
      <c r="C8" s="8" t="s">
        <v>1278</v>
      </c>
      <c r="D8" s="9" t="s">
        <v>1279</v>
      </c>
      <c r="E8" s="10" t="s">
        <v>1280</v>
      </c>
      <c r="F8" s="11" t="s">
        <v>1281</v>
      </c>
    </row>
    <row r="9" spans="1:6" ht="66.5" customHeight="1">
      <c r="A9" s="12">
        <v>4</v>
      </c>
      <c r="B9" s="13" t="s">
        <v>1282</v>
      </c>
      <c r="C9" s="14" t="s">
        <v>1283</v>
      </c>
      <c r="D9" s="1" t="s">
        <v>1284</v>
      </c>
      <c r="E9" s="15" t="s">
        <v>1285</v>
      </c>
      <c r="F9" s="16" t="s">
        <v>1286</v>
      </c>
    </row>
    <row r="10" spans="1:6" ht="84" customHeight="1">
      <c r="A10" s="6">
        <v>5</v>
      </c>
      <c r="B10" s="7" t="s">
        <v>1287</v>
      </c>
      <c r="C10" s="8" t="s">
        <v>1288</v>
      </c>
      <c r="D10" s="9" t="s">
        <v>1289</v>
      </c>
      <c r="E10" s="10" t="s">
        <v>1290</v>
      </c>
      <c r="F10" s="11" t="s">
        <v>1291</v>
      </c>
    </row>
    <row r="11" spans="1:6" ht="66.5" customHeight="1">
      <c r="A11" s="12">
        <v>6</v>
      </c>
      <c r="B11" s="13" t="s">
        <v>1292</v>
      </c>
      <c r="C11" s="14" t="s">
        <v>1293</v>
      </c>
      <c r="D11" s="1" t="s">
        <v>1294</v>
      </c>
      <c r="E11" s="15" t="s">
        <v>1295</v>
      </c>
      <c r="F11" s="16" t="s">
        <v>213</v>
      </c>
    </row>
    <row r="12" spans="1:6" ht="84" customHeight="1">
      <c r="A12" s="6">
        <v>7</v>
      </c>
      <c r="B12" s="7" t="s">
        <v>1296</v>
      </c>
      <c r="C12" s="8" t="s">
        <v>1297</v>
      </c>
      <c r="D12" s="9" t="s">
        <v>1298</v>
      </c>
      <c r="E12" s="10" t="s">
        <v>1299</v>
      </c>
      <c r="F12" s="11" t="s">
        <v>1300</v>
      </c>
    </row>
    <row r="13" spans="1:6" ht="84" customHeight="1">
      <c r="A13" s="12">
        <v>8</v>
      </c>
      <c r="B13" s="13" t="s">
        <v>1301</v>
      </c>
      <c r="C13" s="14" t="s">
        <v>1302</v>
      </c>
      <c r="D13" s="1" t="s">
        <v>1303</v>
      </c>
      <c r="E13" s="15" t="s">
        <v>1304</v>
      </c>
      <c r="F13" s="16" t="s">
        <v>1305</v>
      </c>
    </row>
    <row r="14" spans="1:6" ht="84" customHeight="1">
      <c r="A14" s="6">
        <v>9</v>
      </c>
      <c r="B14" s="7" t="s">
        <v>1306</v>
      </c>
      <c r="C14" s="8" t="s">
        <v>1307</v>
      </c>
      <c r="D14" s="9" t="s">
        <v>1308</v>
      </c>
      <c r="E14" s="10" t="s">
        <v>1309</v>
      </c>
      <c r="F14" s="11" t="s">
        <v>1310</v>
      </c>
    </row>
    <row r="15" spans="1:6" ht="66.5" customHeight="1">
      <c r="A15" s="12">
        <v>10</v>
      </c>
      <c r="B15" s="13" t="s">
        <v>1311</v>
      </c>
      <c r="C15" s="14" t="s">
        <v>1312</v>
      </c>
      <c r="D15" s="1" t="s">
        <v>1313</v>
      </c>
      <c r="E15" s="15" t="s">
        <v>1314</v>
      </c>
      <c r="F15" s="16" t="s">
        <v>1315</v>
      </c>
    </row>
    <row r="16" spans="1:6" ht="84" customHeight="1">
      <c r="A16" s="6">
        <v>11</v>
      </c>
      <c r="B16" s="7" t="s">
        <v>1316</v>
      </c>
      <c r="C16" s="8" t="s">
        <v>1317</v>
      </c>
      <c r="D16" s="9" t="s">
        <v>1318</v>
      </c>
      <c r="E16" s="10" t="s">
        <v>1319</v>
      </c>
      <c r="F16" s="11" t="s">
        <v>1320</v>
      </c>
    </row>
    <row r="17" spans="1:6" ht="84" customHeight="1">
      <c r="A17" s="12">
        <v>12</v>
      </c>
      <c r="B17" s="13" t="s">
        <v>1321</v>
      </c>
      <c r="C17" s="14" t="s">
        <v>1322</v>
      </c>
      <c r="D17" s="1" t="s">
        <v>1323</v>
      </c>
      <c r="E17" s="15" t="s">
        <v>1324</v>
      </c>
      <c r="F17" s="16" t="s">
        <v>1136</v>
      </c>
    </row>
    <row r="18" spans="1:6" ht="66.5" customHeight="1">
      <c r="A18" s="6">
        <v>13</v>
      </c>
      <c r="B18" s="7" t="s">
        <v>1325</v>
      </c>
      <c r="C18" s="8" t="s">
        <v>1326</v>
      </c>
      <c r="D18" s="9" t="s">
        <v>1327</v>
      </c>
      <c r="E18" s="10" t="s">
        <v>1328</v>
      </c>
      <c r="F18" s="11" t="s">
        <v>1329</v>
      </c>
    </row>
    <row r="19" spans="1:6" ht="66.5" customHeight="1">
      <c r="A19" s="12">
        <v>14</v>
      </c>
      <c r="B19" s="13" t="s">
        <v>1330</v>
      </c>
      <c r="C19" s="14" t="s">
        <v>1331</v>
      </c>
      <c r="D19" s="1" t="s">
        <v>1332</v>
      </c>
      <c r="E19" s="15" t="s">
        <v>1333</v>
      </c>
      <c r="F19" s="16" t="s">
        <v>1334</v>
      </c>
    </row>
    <row r="20" spans="1:6" ht="84" customHeight="1">
      <c r="A20" s="6">
        <v>15</v>
      </c>
      <c r="B20" s="7" t="s">
        <v>1335</v>
      </c>
      <c r="C20" s="8" t="s">
        <v>1336</v>
      </c>
      <c r="D20" s="9" t="s">
        <v>1337</v>
      </c>
      <c r="E20" s="10" t="s">
        <v>1338</v>
      </c>
      <c r="F20" s="11" t="s">
        <v>1339</v>
      </c>
    </row>
    <row r="21" spans="1:6" ht="66.5" customHeight="1">
      <c r="A21" s="12">
        <v>16</v>
      </c>
      <c r="B21" s="13" t="s">
        <v>1340</v>
      </c>
      <c r="C21" s="14" t="s">
        <v>1341</v>
      </c>
      <c r="D21" s="1" t="s">
        <v>1342</v>
      </c>
      <c r="E21" s="15" t="s">
        <v>1343</v>
      </c>
      <c r="F21" s="16" t="s">
        <v>1344</v>
      </c>
    </row>
  </sheetData>
  <autoFilter ref="A5:F21"/>
  <mergeCells count="3">
    <mergeCell ref="A1:F1"/>
    <mergeCell ref="A2:F2"/>
    <mergeCell ref="B3:F3"/>
  </mergeCells>
  <hyperlinks>
    <hyperlink ref="A3" location="'00_はじめに'!A1" display="目次"/>
    <hyperlink ref="F6" location="'21_出典と確認範囲'!A8" tooltip="先頭の出典へ移動。全IDは出典一覧で確認。" display="S03 S19 S23 / 運用方針"/>
    <hyperlink ref="F7" location="'21_出典と確認範囲'!A15" tooltip="先頭の出典へ移動。全IDは出典一覧で確認。" display="S10 S16 S19 S29 S30"/>
    <hyperlink ref="F8" location="'21_出典と確認範囲'!A24" tooltip="先頭の出典へ移動。全IDは出典一覧で確認。" display="S19 S24"/>
    <hyperlink ref="F9" location="'21_出典と確認範囲'!A24" tooltip="先頭の出典へ移動。全IDは出典一覧で確認。" display="S19 S21 S24"/>
    <hyperlink ref="F10" location="'21_出典と確認範囲'!A16" tooltip="先頭の出典へ移動。全IDは出典一覧で確認。" display="S11 S12 S27 / 運用方針"/>
    <hyperlink ref="F11" location="'21_出典と確認範囲'!A34" tooltip="先頭の出典へ移動。全IDは出典一覧で確認。" display="S29 S30"/>
    <hyperlink ref="F12" location="'21_出典と確認範囲'!A8" tooltip="先頭の出典へ移動。全IDは出典一覧で確認。" display="S03 S25 S26 S27 S40"/>
    <hyperlink ref="F13" location="'21_出典と確認範囲'!A6" tooltip="先頭の出典へ移動。全IDは出典一覧で確認。" display="S01 S03 S24 S25"/>
    <hyperlink ref="F14" location="'21_出典と確認範囲'!A8" tooltip="先頭の出典へ移動。全IDは出典一覧で確認。" display="S03 S13 S40"/>
    <hyperlink ref="F15" location="'21_出典と確認範囲'!A30" tooltip="先頭の出典へ移動。全IDは出典一覧で確認。" display="S25 / 運用方針"/>
    <hyperlink ref="F16" location="'21_出典と確認範囲'!A6" tooltip="先頭の出典へ移動。全IDは出典一覧で確認。" display="S01 S02 / 監視設計"/>
    <hyperlink ref="F17" location="'21_出典と確認範囲'!A6" tooltip="先頭の出典へ移動。全IDは出典一覧で確認。" display="S01 S03"/>
    <hyperlink ref="F18" location="'21_出典と確認範囲'!A6" tooltip="先頭の出典へ移動。全IDは出典一覧で確認。" display="S01 S03 / 監視設計"/>
    <hyperlink ref="F19" location="'21_出典と確認範囲'!A39" tooltip="先頭の出典へ移動。全IDは出典一覧で確認。" display="S34 / 監視設計"/>
    <hyperlink ref="F20" location="'21_出典と確認範囲'!A30" tooltip="先頭の出典へ移動。全IDは出典一覧で確認。" display="S25 S26 S27 / 監視設計"/>
    <hyperlink ref="F21" location="'21_出典と確認範囲'!A8" tooltip="先頭の出典へ移動。全IDは出典一覧で確認。" display="S03 S25 S26 / 運用方針"/>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20.xml><?xml version="1.0" encoding="utf-8"?>
<worksheet xmlns="http://schemas.openxmlformats.org/spreadsheetml/2006/main" xmlns:r="http://schemas.openxmlformats.org/officeDocument/2006/relationships">
  <sheetPr>
    <tabColor rgb="FF006E78"/>
    <pageSetUpPr fitToPage="1"/>
  </sheetPr>
  <dimension ref="A1:F23"/>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103</v>
      </c>
      <c r="B1" s="2"/>
      <c r="C1" s="2"/>
      <c r="D1" s="2"/>
      <c r="E1" s="2"/>
      <c r="F1" s="2"/>
    </row>
    <row r="2" spans="1:6" ht="37" customHeight="1">
      <c r="A2" s="3" t="s">
        <v>104</v>
      </c>
      <c r="B2" s="3"/>
      <c r="C2" s="3"/>
      <c r="D2" s="3"/>
      <c r="E2" s="3"/>
      <c r="F2" s="3"/>
    </row>
    <row r="3" spans="1:6" ht="29" customHeight="1">
      <c r="A3" s="4" t="s">
        <v>2</v>
      </c>
      <c r="B3" s="3" t="s">
        <v>3</v>
      </c>
      <c r="C3" s="3"/>
      <c r="D3" s="3"/>
      <c r="E3" s="3"/>
      <c r="F3" s="3"/>
    </row>
    <row r="5" spans="1:6" ht="40" customHeight="1">
      <c r="A5" s="5" t="s">
        <v>4</v>
      </c>
      <c r="B5" s="5" t="s">
        <v>115</v>
      </c>
      <c r="C5" s="5" t="s">
        <v>116</v>
      </c>
      <c r="D5" s="5" t="s">
        <v>1345</v>
      </c>
      <c r="E5" s="5" t="s">
        <v>1346</v>
      </c>
      <c r="F5" s="5" t="s">
        <v>119</v>
      </c>
    </row>
    <row r="6" spans="1:6" ht="66.5" customHeight="1">
      <c r="A6" s="6">
        <v>1</v>
      </c>
      <c r="B6" s="7" t="s">
        <v>1347</v>
      </c>
      <c r="C6" s="8" t="s">
        <v>1348</v>
      </c>
      <c r="D6" s="9" t="s">
        <v>1349</v>
      </c>
      <c r="E6" s="10" t="s">
        <v>1350</v>
      </c>
      <c r="F6" s="11" t="s">
        <v>19</v>
      </c>
    </row>
    <row r="7" spans="1:6" ht="66.5" customHeight="1">
      <c r="A7" s="12">
        <v>2</v>
      </c>
      <c r="B7" s="13" t="s">
        <v>1351</v>
      </c>
      <c r="C7" s="14" t="s">
        <v>1352</v>
      </c>
      <c r="D7" s="1" t="s">
        <v>1353</v>
      </c>
      <c r="E7" s="15" t="s">
        <v>1354</v>
      </c>
      <c r="F7" s="16" t="s">
        <v>768</v>
      </c>
    </row>
    <row r="8" spans="1:6" ht="66.5" customHeight="1">
      <c r="A8" s="6">
        <v>3</v>
      </c>
      <c r="B8" s="7" t="s">
        <v>1355</v>
      </c>
      <c r="C8" s="8" t="s">
        <v>1356</v>
      </c>
      <c r="D8" s="9" t="s">
        <v>1357</v>
      </c>
      <c r="E8" s="10" t="s">
        <v>1358</v>
      </c>
      <c r="F8" s="11" t="s">
        <v>1359</v>
      </c>
    </row>
    <row r="9" spans="1:6" ht="66.5" customHeight="1">
      <c r="A9" s="12">
        <v>4</v>
      </c>
      <c r="B9" s="13" t="s">
        <v>1360</v>
      </c>
      <c r="C9" s="14" t="s">
        <v>1361</v>
      </c>
      <c r="D9" s="1" t="s">
        <v>1362</v>
      </c>
      <c r="E9" s="15" t="s">
        <v>1363</v>
      </c>
      <c r="F9" s="16" t="s">
        <v>148</v>
      </c>
    </row>
    <row r="10" spans="1:6" ht="66.5" customHeight="1">
      <c r="A10" s="6">
        <v>5</v>
      </c>
      <c r="B10" s="7" t="s">
        <v>1364</v>
      </c>
      <c r="C10" s="8" t="s">
        <v>1365</v>
      </c>
      <c r="D10" s="9" t="s">
        <v>1366</v>
      </c>
      <c r="E10" s="10" t="s">
        <v>1367</v>
      </c>
      <c r="F10" s="11" t="s">
        <v>1368</v>
      </c>
    </row>
    <row r="11" spans="1:6" ht="84" customHeight="1">
      <c r="A11" s="12">
        <v>6</v>
      </c>
      <c r="B11" s="13" t="s">
        <v>1369</v>
      </c>
      <c r="C11" s="14" t="s">
        <v>1370</v>
      </c>
      <c r="D11" s="1" t="s">
        <v>1371</v>
      </c>
      <c r="E11" s="15" t="s">
        <v>1372</v>
      </c>
      <c r="F11" s="16" t="s">
        <v>1373</v>
      </c>
    </row>
    <row r="12" spans="1:6" ht="84" customHeight="1">
      <c r="A12" s="6">
        <v>7</v>
      </c>
      <c r="B12" s="7" t="s">
        <v>1374</v>
      </c>
      <c r="C12" s="8" t="s">
        <v>1375</v>
      </c>
      <c r="D12" s="9" t="s">
        <v>1376</v>
      </c>
      <c r="E12" s="10" t="s">
        <v>1377</v>
      </c>
      <c r="F12" s="11" t="s">
        <v>614</v>
      </c>
    </row>
    <row r="13" spans="1:6" ht="66.5" customHeight="1">
      <c r="A13" s="12">
        <v>8</v>
      </c>
      <c r="B13" s="13" t="s">
        <v>1378</v>
      </c>
      <c r="C13" s="14" t="s">
        <v>1379</v>
      </c>
      <c r="D13" s="1" t="s">
        <v>1380</v>
      </c>
      <c r="E13" s="15" t="s">
        <v>1381</v>
      </c>
      <c r="F13" s="16" t="s">
        <v>233</v>
      </c>
    </row>
    <row r="14" spans="1:6" ht="66.5" customHeight="1">
      <c r="A14" s="6">
        <v>9</v>
      </c>
      <c r="B14" s="7" t="s">
        <v>1382</v>
      </c>
      <c r="C14" s="8" t="s">
        <v>1383</v>
      </c>
      <c r="D14" s="9" t="s">
        <v>1384</v>
      </c>
      <c r="E14" s="10" t="s">
        <v>1385</v>
      </c>
      <c r="F14" s="11" t="s">
        <v>213</v>
      </c>
    </row>
    <row r="15" spans="1:6" ht="66.5" customHeight="1">
      <c r="A15" s="12">
        <v>10</v>
      </c>
      <c r="B15" s="13" t="s">
        <v>1386</v>
      </c>
      <c r="C15" s="14" t="s">
        <v>1387</v>
      </c>
      <c r="D15" s="1" t="s">
        <v>1388</v>
      </c>
      <c r="E15" s="15" t="s">
        <v>1389</v>
      </c>
      <c r="F15" s="16" t="s">
        <v>552</v>
      </c>
    </row>
    <row r="16" spans="1:6" ht="66.5" customHeight="1">
      <c r="A16" s="6">
        <v>11</v>
      </c>
      <c r="B16" s="7" t="s">
        <v>1390</v>
      </c>
      <c r="C16" s="8" t="s">
        <v>1391</v>
      </c>
      <c r="D16" s="9" t="s">
        <v>1392</v>
      </c>
      <c r="E16" s="10" t="s">
        <v>1393</v>
      </c>
      <c r="F16" s="11" t="s">
        <v>1394</v>
      </c>
    </row>
    <row r="17" spans="1:6" ht="66.5" customHeight="1">
      <c r="A17" s="12">
        <v>12</v>
      </c>
      <c r="B17" s="13" t="s">
        <v>1395</v>
      </c>
      <c r="C17" s="14" t="s">
        <v>1396</v>
      </c>
      <c r="D17" s="1" t="s">
        <v>1397</v>
      </c>
      <c r="E17" s="15" t="s">
        <v>1398</v>
      </c>
      <c r="F17" s="16" t="s">
        <v>430</v>
      </c>
    </row>
    <row r="18" spans="1:6" ht="66.5" customHeight="1">
      <c r="A18" s="6">
        <v>13</v>
      </c>
      <c r="B18" s="7" t="s">
        <v>1399</v>
      </c>
      <c r="C18" s="8" t="s">
        <v>1400</v>
      </c>
      <c r="D18" s="9" t="s">
        <v>1401</v>
      </c>
      <c r="E18" s="10" t="s">
        <v>1402</v>
      </c>
      <c r="F18" s="11" t="s">
        <v>1403</v>
      </c>
    </row>
    <row r="19" spans="1:6" ht="66.5" customHeight="1">
      <c r="A19" s="12">
        <v>14</v>
      </c>
      <c r="B19" s="13" t="s">
        <v>1404</v>
      </c>
      <c r="C19" s="14" t="s">
        <v>1405</v>
      </c>
      <c r="D19" s="1" t="s">
        <v>1406</v>
      </c>
      <c r="E19" s="15" t="s">
        <v>1407</v>
      </c>
      <c r="F19" s="16" t="s">
        <v>1408</v>
      </c>
    </row>
    <row r="20" spans="1:6" ht="66.5" customHeight="1">
      <c r="A20" s="6">
        <v>15</v>
      </c>
      <c r="B20" s="7" t="s">
        <v>1409</v>
      </c>
      <c r="C20" s="8" t="s">
        <v>1410</v>
      </c>
      <c r="D20" s="9" t="s">
        <v>1411</v>
      </c>
      <c r="E20" s="10" t="s">
        <v>1412</v>
      </c>
      <c r="F20" s="11" t="s">
        <v>1413</v>
      </c>
    </row>
    <row r="21" spans="1:6" ht="66.5" customHeight="1">
      <c r="A21" s="12">
        <v>16</v>
      </c>
      <c r="B21" s="13" t="s">
        <v>1414</v>
      </c>
      <c r="C21" s="14" t="s">
        <v>1415</v>
      </c>
      <c r="D21" s="1" t="s">
        <v>1416</v>
      </c>
      <c r="E21" s="15" t="s">
        <v>1417</v>
      </c>
      <c r="F21" s="16" t="s">
        <v>375</v>
      </c>
    </row>
    <row r="22" spans="1:6" ht="66.5" customHeight="1">
      <c r="A22" s="6">
        <v>17</v>
      </c>
      <c r="B22" s="7" t="s">
        <v>1418</v>
      </c>
      <c r="C22" s="8" t="s">
        <v>1419</v>
      </c>
      <c r="D22" s="9" t="s">
        <v>1420</v>
      </c>
      <c r="E22" s="10" t="s">
        <v>1421</v>
      </c>
      <c r="F22" s="11" t="s">
        <v>1422</v>
      </c>
    </row>
    <row r="23" spans="1:6" ht="66.5" customHeight="1">
      <c r="A23" s="12">
        <v>18</v>
      </c>
      <c r="B23" s="13" t="s">
        <v>1423</v>
      </c>
      <c r="C23" s="14" t="s">
        <v>1424</v>
      </c>
      <c r="D23" s="1" t="s">
        <v>1425</v>
      </c>
      <c r="E23" s="15" t="s">
        <v>1426</v>
      </c>
      <c r="F23" s="16" t="s">
        <v>1427</v>
      </c>
    </row>
  </sheetData>
  <autoFilter ref="A5:F23"/>
  <mergeCells count="3">
    <mergeCell ref="A1:F1"/>
    <mergeCell ref="A2:F2"/>
    <mergeCell ref="B3:F3"/>
  </mergeCells>
  <hyperlinks>
    <hyperlink ref="A3" location="'00_はじめに'!A1" display="目次"/>
    <hyperlink ref="F6" location="'21_出典と確認範囲'!A9" tooltip="先頭の出典へ移動。全IDは出典一覧で確認。" display="S04 S10 S31 S32"/>
    <hyperlink ref="F7" location="'21_出典と確認範囲'!A22" tooltip="先頭の出典へ移動。全IDは出典一覧で確認。" display="S17 S21 S25"/>
    <hyperlink ref="F8" location="'21_出典と確認範囲'!A10" tooltip="先頭の出典へ移動。全IDは出典一覧で確認。" display="S05 S11 S16"/>
    <hyperlink ref="F9" location="'21_出典と確認範囲'!A10" tooltip="先頭の出典へ移動。全IDは出典一覧で確認。" display="S05 S06 S07"/>
    <hyperlink ref="F10" location="'21_出典と確認範囲'!A10" tooltip="先頭の出典へ移動。全IDは出典一覧で確認。" display="S05 S06 S11"/>
    <hyperlink ref="F11" location="'21_出典と確認範囲'!A10" tooltip="先頭の出典へ移動。全IDは出典一覧で確認。" display="S05 S19 S21"/>
    <hyperlink ref="F12" location="'21_出典と確認範囲'!A11" tooltip="先頭の出典へ移動。全IDは出典一覧で確認。" display="S06 S08 S16"/>
    <hyperlink ref="F13" location="'21_出典と確認範囲'!A10" tooltip="先頭の出典へ移動。全IDは出典一覧で確認。" display="S05 S07"/>
    <hyperlink ref="F14" location="'21_出典と確認範囲'!A34" tooltip="先頭の出典へ移動。全IDは出典一覧で確認。" display="S29 S30"/>
    <hyperlink ref="F15" location="'21_出典と確認範囲'!A15" tooltip="先頭の出典へ移動。全IDは出典一覧で確認。" display="S10 S29 S30"/>
    <hyperlink ref="F16" location="'21_出典と確認範囲'!A23" tooltip="先頭の出典へ移動。全IDは出典一覧で確認。" display="S18 S19 S22"/>
    <hyperlink ref="F17" location="'21_出典と確認範囲'!A24" tooltip="先頭の出典へ移動。全IDは出典一覧で確認。" display="S19 S20 S21"/>
    <hyperlink ref="F18" location="'21_出典と確認範囲'!A26" tooltip="先頭の出典へ移動。全IDは出典一覧で確認。" display="S21 S25 S27"/>
    <hyperlink ref="F19" location="'21_出典と確認範囲'!A16" tooltip="先頭の出典へ移動。全IDは出典一覧で確認。" display="S11 S13 S25"/>
    <hyperlink ref="F20" location="'21_出典と確認範囲'!A6" tooltip="先頭の出典へ移動。全IDは出典一覧で確認。" display="S01 S03 S25 S27 S40"/>
    <hyperlink ref="F21" location="'21_出典と確認範囲'!A38" tooltip="先頭の出典へ移動。全IDは出典一覧で確認。" display="S33 S34"/>
    <hyperlink ref="F22" location="'21_出典と確認範囲'!A17" tooltip="先頭の出典へ移動。全IDは出典一覧で確認。" display="S12 S16 S20"/>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21.xml><?xml version="1.0" encoding="utf-8"?>
<worksheet xmlns="http://schemas.openxmlformats.org/spreadsheetml/2006/main" xmlns:r="http://schemas.openxmlformats.org/officeDocument/2006/relationships">
  <sheetPr>
    <tabColor rgb="FF006E78"/>
    <pageSetUpPr fitToPage="1"/>
  </sheetPr>
  <dimension ref="A1:F28"/>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5.7109375" style="1" customWidth="1"/>
    <col min="3" max="3" width="38.7109375" style="1" customWidth="1"/>
    <col min="4" max="4" width="57.7109375" style="1" customWidth="1"/>
    <col min="5" max="5" width="44.7109375" style="1" customWidth="1"/>
    <col min="6" max="6" width="13.7109375" style="1" customWidth="1"/>
  </cols>
  <sheetData>
    <row r="1" spans="1:6" ht="45" customHeight="1">
      <c r="A1" s="2" t="s">
        <v>106</v>
      </c>
      <c r="B1" s="2"/>
      <c r="C1" s="2"/>
      <c r="D1" s="2"/>
      <c r="E1" s="2"/>
      <c r="F1" s="2"/>
    </row>
    <row r="2" spans="1:6" ht="37" customHeight="1">
      <c r="A2" s="3" t="s">
        <v>107</v>
      </c>
      <c r="B2" s="3"/>
      <c r="C2" s="3"/>
      <c r="D2" s="3"/>
      <c r="E2" s="3"/>
      <c r="F2" s="3"/>
    </row>
    <row r="3" spans="1:6" ht="29" customHeight="1">
      <c r="A3" s="4" t="s">
        <v>2</v>
      </c>
      <c r="B3" s="3" t="s">
        <v>3</v>
      </c>
      <c r="C3" s="3"/>
      <c r="D3" s="3"/>
      <c r="E3" s="3"/>
      <c r="F3" s="3"/>
    </row>
    <row r="5" spans="1:6" ht="40" customHeight="1">
      <c r="A5" s="5" t="s">
        <v>4</v>
      </c>
      <c r="B5" s="5" t="s">
        <v>115</v>
      </c>
      <c r="C5" s="5" t="s">
        <v>116</v>
      </c>
      <c r="D5" s="5" t="s">
        <v>117</v>
      </c>
      <c r="E5" s="5" t="s">
        <v>118</v>
      </c>
      <c r="F5" s="5" t="s">
        <v>119</v>
      </c>
    </row>
    <row r="6" spans="1:6" ht="66.5" customHeight="1">
      <c r="A6" s="6">
        <v>1</v>
      </c>
      <c r="B6" s="7" t="s">
        <v>1428</v>
      </c>
      <c r="C6" s="8" t="s">
        <v>1429</v>
      </c>
      <c r="D6" s="9" t="s">
        <v>1430</v>
      </c>
      <c r="E6" s="10" t="s">
        <v>1431</v>
      </c>
      <c r="F6" s="11" t="s">
        <v>14</v>
      </c>
    </row>
    <row r="7" spans="1:6" ht="66.5" customHeight="1">
      <c r="A7" s="12">
        <v>2</v>
      </c>
      <c r="B7" s="13" t="s">
        <v>1432</v>
      </c>
      <c r="C7" s="14" t="s">
        <v>1433</v>
      </c>
      <c r="D7" s="1" t="s">
        <v>1434</v>
      </c>
      <c r="E7" s="15" t="s">
        <v>1435</v>
      </c>
      <c r="F7" s="16" t="s">
        <v>1436</v>
      </c>
    </row>
    <row r="8" spans="1:6" ht="66.5" customHeight="1">
      <c r="A8" s="6">
        <v>3</v>
      </c>
      <c r="B8" s="7" t="s">
        <v>1437</v>
      </c>
      <c r="C8" s="8" t="s">
        <v>1438</v>
      </c>
      <c r="D8" s="9" t="s">
        <v>1439</v>
      </c>
      <c r="E8" s="10" t="s">
        <v>1440</v>
      </c>
      <c r="F8" s="11" t="s">
        <v>1441</v>
      </c>
    </row>
    <row r="9" spans="1:6" ht="49" customHeight="1">
      <c r="A9" s="12">
        <v>4</v>
      </c>
      <c r="B9" s="13" t="s">
        <v>1442</v>
      </c>
      <c r="C9" s="14" t="s">
        <v>1443</v>
      </c>
      <c r="D9" s="1" t="s">
        <v>1444</v>
      </c>
      <c r="E9" s="15" t="s">
        <v>1445</v>
      </c>
      <c r="F9" s="16" t="s">
        <v>233</v>
      </c>
    </row>
    <row r="10" spans="1:6" ht="66.5" customHeight="1">
      <c r="A10" s="6">
        <v>5</v>
      </c>
      <c r="B10" s="7" t="s">
        <v>1446</v>
      </c>
      <c r="C10" s="8" t="s">
        <v>1447</v>
      </c>
      <c r="D10" s="9" t="s">
        <v>1448</v>
      </c>
      <c r="E10" s="10" t="s">
        <v>1449</v>
      </c>
      <c r="F10" s="11" t="s">
        <v>1450</v>
      </c>
    </row>
    <row r="11" spans="1:6" ht="66.5" customHeight="1">
      <c r="A11" s="12">
        <v>6</v>
      </c>
      <c r="B11" s="13" t="s">
        <v>1451</v>
      </c>
      <c r="C11" s="14" t="s">
        <v>1452</v>
      </c>
      <c r="D11" s="1" t="s">
        <v>1453</v>
      </c>
      <c r="E11" s="15" t="s">
        <v>1454</v>
      </c>
      <c r="F11" s="16" t="s">
        <v>292</v>
      </c>
    </row>
    <row r="12" spans="1:6" ht="66.5" customHeight="1">
      <c r="A12" s="6">
        <v>7</v>
      </c>
      <c r="B12" s="7" t="s">
        <v>1455</v>
      </c>
      <c r="C12" s="8" t="s">
        <v>1456</v>
      </c>
      <c r="D12" s="9" t="s">
        <v>1457</v>
      </c>
      <c r="E12" s="10" t="s">
        <v>1458</v>
      </c>
      <c r="F12" s="11" t="s">
        <v>753</v>
      </c>
    </row>
    <row r="13" spans="1:6" ht="66.5" customHeight="1">
      <c r="A13" s="12">
        <v>8</v>
      </c>
      <c r="B13" s="13" t="s">
        <v>1459</v>
      </c>
      <c r="C13" s="14" t="s">
        <v>1460</v>
      </c>
      <c r="D13" s="1" t="s">
        <v>1461</v>
      </c>
      <c r="E13" s="15" t="s">
        <v>1462</v>
      </c>
      <c r="F13" s="16" t="s">
        <v>1463</v>
      </c>
    </row>
    <row r="14" spans="1:6" ht="66.5" customHeight="1">
      <c r="A14" s="6">
        <v>9</v>
      </c>
      <c r="B14" s="7" t="s">
        <v>1464</v>
      </c>
      <c r="C14" s="8" t="s">
        <v>1465</v>
      </c>
      <c r="D14" s="9" t="s">
        <v>1466</v>
      </c>
      <c r="E14" s="10" t="s">
        <v>1467</v>
      </c>
      <c r="F14" s="11" t="s">
        <v>213</v>
      </c>
    </row>
    <row r="15" spans="1:6" ht="66.5" customHeight="1">
      <c r="A15" s="12">
        <v>10</v>
      </c>
      <c r="B15" s="13" t="s">
        <v>1468</v>
      </c>
      <c r="C15" s="14" t="s">
        <v>1469</v>
      </c>
      <c r="D15" s="1" t="s">
        <v>1470</v>
      </c>
      <c r="E15" s="15" t="s">
        <v>1471</v>
      </c>
      <c r="F15" s="16" t="s">
        <v>213</v>
      </c>
    </row>
    <row r="16" spans="1:6" ht="49" customHeight="1">
      <c r="A16" s="6">
        <v>11</v>
      </c>
      <c r="B16" s="7" t="s">
        <v>1472</v>
      </c>
      <c r="C16" s="8" t="s">
        <v>1473</v>
      </c>
      <c r="D16" s="9" t="s">
        <v>1474</v>
      </c>
      <c r="E16" s="10" t="s">
        <v>1475</v>
      </c>
      <c r="F16" s="11" t="s">
        <v>1476</v>
      </c>
    </row>
    <row r="17" spans="1:6" ht="49" customHeight="1">
      <c r="A17" s="12">
        <v>12</v>
      </c>
      <c r="B17" s="13" t="s">
        <v>1477</v>
      </c>
      <c r="C17" s="14" t="s">
        <v>1478</v>
      </c>
      <c r="D17" s="1" t="s">
        <v>1479</v>
      </c>
      <c r="E17" s="15" t="s">
        <v>1480</v>
      </c>
      <c r="F17" s="16" t="s">
        <v>253</v>
      </c>
    </row>
    <row r="18" spans="1:6" ht="49" customHeight="1">
      <c r="A18" s="6">
        <v>13</v>
      </c>
      <c r="B18" s="7" t="s">
        <v>1481</v>
      </c>
      <c r="C18" s="8" t="s">
        <v>1482</v>
      </c>
      <c r="D18" s="9" t="s">
        <v>1483</v>
      </c>
      <c r="E18" s="10" t="s">
        <v>1484</v>
      </c>
      <c r="F18" s="11" t="s">
        <v>1485</v>
      </c>
    </row>
    <row r="19" spans="1:6" ht="66.5" customHeight="1">
      <c r="A19" s="12">
        <v>14</v>
      </c>
      <c r="B19" s="13" t="s">
        <v>1486</v>
      </c>
      <c r="C19" s="14" t="s">
        <v>1487</v>
      </c>
      <c r="D19" s="1" t="s">
        <v>1488</v>
      </c>
      <c r="E19" s="15" t="s">
        <v>1489</v>
      </c>
      <c r="F19" s="16" t="s">
        <v>1490</v>
      </c>
    </row>
    <row r="20" spans="1:6" ht="66.5" customHeight="1">
      <c r="A20" s="6">
        <v>15</v>
      </c>
      <c r="B20" s="7" t="s">
        <v>1491</v>
      </c>
      <c r="C20" s="8" t="s">
        <v>1492</v>
      </c>
      <c r="D20" s="9" t="s">
        <v>1493</v>
      </c>
      <c r="E20" s="10" t="s">
        <v>1494</v>
      </c>
      <c r="F20" s="11" t="s">
        <v>1495</v>
      </c>
    </row>
    <row r="21" spans="1:6" ht="66.5" customHeight="1">
      <c r="A21" s="12">
        <v>16</v>
      </c>
      <c r="B21" s="13" t="s">
        <v>1496</v>
      </c>
      <c r="C21" s="14" t="s">
        <v>1497</v>
      </c>
      <c r="D21" s="1" t="s">
        <v>1498</v>
      </c>
      <c r="E21" s="15" t="s">
        <v>1499</v>
      </c>
      <c r="F21" s="16" t="s">
        <v>1500</v>
      </c>
    </row>
    <row r="22" spans="1:6" ht="66.5" customHeight="1">
      <c r="A22" s="6">
        <v>17</v>
      </c>
      <c r="B22" s="7" t="s">
        <v>1501</v>
      </c>
      <c r="C22" s="8" t="s">
        <v>1502</v>
      </c>
      <c r="D22" s="9" t="s">
        <v>1503</v>
      </c>
      <c r="E22" s="10" t="s">
        <v>1504</v>
      </c>
      <c r="F22" s="11" t="s">
        <v>238</v>
      </c>
    </row>
    <row r="23" spans="1:6" ht="66.5" customHeight="1">
      <c r="A23" s="12">
        <v>18</v>
      </c>
      <c r="B23" s="13" t="s">
        <v>1505</v>
      </c>
      <c r="C23" s="14" t="s">
        <v>1506</v>
      </c>
      <c r="D23" s="1" t="s">
        <v>1507</v>
      </c>
      <c r="E23" s="15" t="s">
        <v>1508</v>
      </c>
      <c r="F23" s="16" t="s">
        <v>350</v>
      </c>
    </row>
    <row r="24" spans="1:6" ht="66.5" customHeight="1">
      <c r="A24" s="6">
        <v>19</v>
      </c>
      <c r="B24" s="7" t="s">
        <v>1509</v>
      </c>
      <c r="C24" s="8" t="s">
        <v>1510</v>
      </c>
      <c r="D24" s="9" t="s">
        <v>1511</v>
      </c>
      <c r="E24" s="10" t="s">
        <v>1512</v>
      </c>
      <c r="F24" s="11" t="s">
        <v>1513</v>
      </c>
    </row>
    <row r="25" spans="1:6" ht="66.5" customHeight="1">
      <c r="A25" s="12">
        <v>20</v>
      </c>
      <c r="B25" s="13" t="s">
        <v>1514</v>
      </c>
      <c r="C25" s="14" t="s">
        <v>1515</v>
      </c>
      <c r="D25" s="1" t="s">
        <v>1516</v>
      </c>
      <c r="E25" s="15" t="s">
        <v>1517</v>
      </c>
      <c r="F25" s="16" t="s">
        <v>198</v>
      </c>
    </row>
    <row r="26" spans="1:6" ht="66.5" customHeight="1">
      <c r="A26" s="6">
        <v>21</v>
      </c>
      <c r="B26" s="7" t="s">
        <v>1518</v>
      </c>
      <c r="C26" s="8" t="s">
        <v>1519</v>
      </c>
      <c r="D26" s="9" t="s">
        <v>1520</v>
      </c>
      <c r="E26" s="10" t="s">
        <v>1521</v>
      </c>
      <c r="F26" s="11" t="s">
        <v>1522</v>
      </c>
    </row>
    <row r="27" spans="1:6" ht="66.5" customHeight="1">
      <c r="A27" s="12">
        <v>22</v>
      </c>
      <c r="B27" s="13" t="s">
        <v>1523</v>
      </c>
      <c r="C27" s="14" t="s">
        <v>1524</v>
      </c>
      <c r="D27" s="1" t="s">
        <v>1525</v>
      </c>
      <c r="E27" s="15" t="s">
        <v>1526</v>
      </c>
      <c r="F27" s="16" t="s">
        <v>1527</v>
      </c>
    </row>
    <row r="28" spans="1:6" ht="66.5" customHeight="1">
      <c r="A28" s="6">
        <v>23</v>
      </c>
      <c r="B28" s="7" t="s">
        <v>1528</v>
      </c>
      <c r="C28" s="8" t="s">
        <v>1529</v>
      </c>
      <c r="D28" s="9" t="s">
        <v>1530</v>
      </c>
      <c r="E28" s="10" t="s">
        <v>1531</v>
      </c>
      <c r="F28" s="11" t="s">
        <v>34</v>
      </c>
    </row>
  </sheetData>
  <autoFilter ref="A5:F28"/>
  <mergeCells count="3">
    <mergeCell ref="A1:F1"/>
    <mergeCell ref="A2:F2"/>
    <mergeCell ref="B3:F3"/>
  </mergeCells>
  <hyperlinks>
    <hyperlink ref="A3" location="'00_はじめに'!A1" display="目次"/>
    <hyperlink ref="F6" location="'21_出典と確認範囲'!A23" tooltip="先頭の出典へ移動。全IDは出典一覧で確認。" display="S18 S19 S25"/>
    <hyperlink ref="F7" location="'21_出典と確認範囲'!A16" tooltip="先頭の出典へ移動。全IDは出典一覧で確認。" display="S11 S19 S20 S21"/>
    <hyperlink ref="F8" location="'21_出典と確認範囲'!A15" tooltip="先頭の出典へ移動。全IDは出典一覧で確認。" display="S10 S17"/>
    <hyperlink ref="F9" location="'21_出典と確認範囲'!A10" tooltip="先頭の出典へ移動。全IDは出典一覧で確認。" display="S05 S07"/>
    <hyperlink ref="F10" location="'21_出典と確認範囲'!A10" tooltip="先頭の出典へ移動。全IDは出典一覧で確認。" display="S05 S16 S18"/>
    <hyperlink ref="F11" location="'21_出典と確認範囲'!A6" tooltip="先頭の出典へ移動。全IDは出典一覧で確認。" display="S01 S18"/>
    <hyperlink ref="F12" location="'21_出典と確認範囲'!A10" tooltip="先頭の出典へ移動。全IDは出典一覧で確認。" display="S05 S10 S13"/>
    <hyperlink ref="F13" location="'21_出典と確認範囲'!A18" tooltip="先頭の出典へ移動。全IDは出典一覧で確認。" display="S13 S21 S25"/>
    <hyperlink ref="F14" location="'21_出典と確認範囲'!A34" tooltip="先頭の出典へ移動。全IDは出典一覧で確認。" display="S29 S30"/>
    <hyperlink ref="F15" location="'21_出典と確認範囲'!A34" tooltip="先頭の出典へ移動。全IDは出典一覧で確認。" display="S29 S30"/>
    <hyperlink ref="F16" location="'21_出典と確認範囲'!A30" tooltip="先頭の出典へ移動。全IDは出典一覧で確認。" display="S25 / 設計判断"/>
    <hyperlink ref="F17" location="'21_出典と確認範囲'!A30" tooltip="先頭の出典へ移動。全IDは出典一覧で確認。" display="S25 S26 S27"/>
    <hyperlink ref="F18" location="'21_出典と確認範囲'!A6" tooltip="先頭の出典へ移動。全IDは出典一覧で確認。" display="S01 S33"/>
    <hyperlink ref="F19" location="'21_出典と確認範囲'!A30" tooltip="先頭の出典へ移動。全IDは出典一覧で確認。" display="S25 S26"/>
    <hyperlink ref="F20" location="'21_出典と確認範囲'!A7" tooltip="先頭の出典へ移動。全IDは出典一覧で確認。" display="S02 S17 S18"/>
    <hyperlink ref="F21" location="'21_出典と確認範囲'!A23" tooltip="先頭の出典へ移動。全IDは出典一覧で確認。" display="S18 S25 S30"/>
    <hyperlink ref="F22" location="'21_出典と確認範囲'!A30" tooltip="先頭の出典へ移動。全IDは出典一覧で確認。" display="S25 S27"/>
    <hyperlink ref="F23" location="'21_出典と確認範囲'!A22" tooltip="先頭の出典へ移動。全IDは出典一覧で確認。" display="S17 S23 S25"/>
    <hyperlink ref="F24" location="'21_出典と確認範囲'!A15" tooltip="先頭の出典へ移動。全IDは出典一覧で確認。" display="S10 S23 S27"/>
    <hyperlink ref="F25" location="'21_出典と確認範囲'!A24" tooltip="先頭の出典へ移動。全IDは出典一覧で確認。" display="S19 S24 S25"/>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22.xml><?xml version="1.0" encoding="utf-8"?>
<worksheet xmlns="http://schemas.openxmlformats.org/spreadsheetml/2006/main" xmlns:r="http://schemas.openxmlformats.org/officeDocument/2006/relationships">
  <sheetPr>
    <tabColor rgb="FF675485"/>
    <pageSetUpPr fitToPage="1"/>
  </sheetPr>
  <dimension ref="A1:F47"/>
  <sheetViews>
    <sheetView showGridLines="0" zoomScale="80" zoomScaleNormal="80" workbookViewId="0">
      <pane xSplit="2" ySplit="5" topLeftCell="C6" activePane="bottomRight" state="frozen"/>
      <selection pane="topRight" activeCell="C1" sqref="C1"/>
      <selection pane="bottomLeft" activeCell="A6" sqref="A6"/>
      <selection pane="bottomRight"/>
    </sheetView>
  </sheetViews>
  <sheetFormatPr defaultRowHeight="22" customHeight="1"/>
  <cols>
    <col min="1" max="1" width="8.7109375" style="1" customWidth="1"/>
    <col min="2" max="2" width="21.7109375" style="1" customWidth="1"/>
    <col min="3" max="3" width="39.7109375" style="1" customWidth="1"/>
    <col min="4" max="4" width="53.7109375" style="1" customWidth="1"/>
    <col min="5" max="5" width="45.7109375" style="1" customWidth="1"/>
    <col min="6" max="6" width="46.7109375" style="1" customWidth="1"/>
  </cols>
  <sheetData>
    <row r="1" spans="1:6" ht="45" customHeight="1">
      <c r="A1" s="2" t="s">
        <v>1532</v>
      </c>
      <c r="B1" s="2"/>
      <c r="C1" s="2"/>
      <c r="D1" s="2"/>
      <c r="E1" s="2"/>
      <c r="F1" s="2"/>
    </row>
    <row r="2" spans="1:6" ht="37" customHeight="1">
      <c r="A2" s="3" t="s">
        <v>1533</v>
      </c>
      <c r="B2" s="3"/>
      <c r="C2" s="3"/>
      <c r="D2" s="3"/>
      <c r="E2" s="3"/>
      <c r="F2" s="3"/>
    </row>
    <row r="3" spans="1:6" ht="29" customHeight="1">
      <c r="A3" s="4" t="s">
        <v>2</v>
      </c>
      <c r="B3" s="3" t="s">
        <v>3</v>
      </c>
      <c r="C3" s="3"/>
      <c r="D3" s="3"/>
      <c r="E3" s="3"/>
      <c r="F3" s="3"/>
    </row>
    <row r="5" spans="1:6" ht="40" customHeight="1">
      <c r="A5" s="5" t="s">
        <v>1534</v>
      </c>
      <c r="B5" s="5" t="s">
        <v>1535</v>
      </c>
      <c r="C5" s="5" t="s">
        <v>1536</v>
      </c>
      <c r="D5" s="5" t="s">
        <v>1537</v>
      </c>
      <c r="E5" s="5" t="s">
        <v>1538</v>
      </c>
      <c r="F5" s="5" t="s">
        <v>1539</v>
      </c>
    </row>
    <row r="6" spans="1:6" ht="66.5" customHeight="1">
      <c r="A6" s="7" t="s">
        <v>312</v>
      </c>
      <c r="B6" s="9" t="s">
        <v>1540</v>
      </c>
      <c r="C6" s="9" t="s">
        <v>1541</v>
      </c>
      <c r="D6" s="11" t="s">
        <v>1542</v>
      </c>
      <c r="E6" s="9" t="s">
        <v>1543</v>
      </c>
      <c r="F6" s="10" t="s">
        <v>1544</v>
      </c>
    </row>
    <row r="7" spans="1:6" ht="84" customHeight="1">
      <c r="A7" s="13" t="s">
        <v>1545</v>
      </c>
      <c r="B7" s="1" t="s">
        <v>1540</v>
      </c>
      <c r="C7" s="1" t="s">
        <v>1546</v>
      </c>
      <c r="D7" s="16" t="s">
        <v>1547</v>
      </c>
      <c r="E7" s="1" t="s">
        <v>1548</v>
      </c>
      <c r="F7" s="15" t="s">
        <v>1549</v>
      </c>
    </row>
    <row r="8" spans="1:6" ht="84" customHeight="1">
      <c r="A8" s="7" t="s">
        <v>1550</v>
      </c>
      <c r="B8" s="9" t="s">
        <v>1540</v>
      </c>
      <c r="C8" s="9" t="s">
        <v>1551</v>
      </c>
      <c r="D8" s="11" t="s">
        <v>1552</v>
      </c>
      <c r="E8" s="9" t="s">
        <v>1553</v>
      </c>
      <c r="F8" s="10" t="s">
        <v>1554</v>
      </c>
    </row>
    <row r="9" spans="1:6" ht="84" customHeight="1">
      <c r="A9" s="13" t="s">
        <v>1555</v>
      </c>
      <c r="B9" s="1" t="s">
        <v>1556</v>
      </c>
      <c r="C9" s="1" t="s">
        <v>1557</v>
      </c>
      <c r="D9" s="16" t="s">
        <v>1558</v>
      </c>
      <c r="E9" s="1" t="s">
        <v>1559</v>
      </c>
      <c r="F9" s="15" t="s">
        <v>1560</v>
      </c>
    </row>
    <row r="10" spans="1:6" ht="84" customHeight="1">
      <c r="A10" s="7" t="s">
        <v>596</v>
      </c>
      <c r="B10" s="9" t="s">
        <v>1561</v>
      </c>
      <c r="C10" s="9" t="s">
        <v>1562</v>
      </c>
      <c r="D10" s="11" t="s">
        <v>1563</v>
      </c>
      <c r="E10" s="9" t="s">
        <v>1564</v>
      </c>
      <c r="F10" s="10" t="s">
        <v>1565</v>
      </c>
    </row>
    <row r="11" spans="1:6" ht="84" customHeight="1">
      <c r="A11" s="13" t="s">
        <v>1566</v>
      </c>
      <c r="B11" s="1" t="s">
        <v>1561</v>
      </c>
      <c r="C11" s="1" t="s">
        <v>1567</v>
      </c>
      <c r="D11" s="16" t="s">
        <v>1568</v>
      </c>
      <c r="E11" s="1" t="s">
        <v>1569</v>
      </c>
      <c r="F11" s="15" t="s">
        <v>1570</v>
      </c>
    </row>
    <row r="12" spans="1:6" ht="84" customHeight="1">
      <c r="A12" s="7" t="s">
        <v>1571</v>
      </c>
      <c r="B12" s="9" t="s">
        <v>1561</v>
      </c>
      <c r="C12" s="9" t="s">
        <v>1572</v>
      </c>
      <c r="D12" s="11" t="s">
        <v>1573</v>
      </c>
      <c r="E12" s="9" t="s">
        <v>1574</v>
      </c>
      <c r="F12" s="10" t="s">
        <v>1575</v>
      </c>
    </row>
    <row r="13" spans="1:6" ht="84" customHeight="1">
      <c r="A13" s="13" t="s">
        <v>455</v>
      </c>
      <c r="B13" s="1" t="s">
        <v>1561</v>
      </c>
      <c r="C13" s="1" t="s">
        <v>1576</v>
      </c>
      <c r="D13" s="16" t="s">
        <v>1577</v>
      </c>
      <c r="E13" s="1" t="s">
        <v>1578</v>
      </c>
      <c r="F13" s="15" t="s">
        <v>1579</v>
      </c>
    </row>
    <row r="14" spans="1:6" ht="84" customHeight="1">
      <c r="A14" s="7" t="s">
        <v>1580</v>
      </c>
      <c r="B14" s="9" t="s">
        <v>1561</v>
      </c>
      <c r="C14" s="9" t="s">
        <v>1581</v>
      </c>
      <c r="D14" s="11" t="s">
        <v>1582</v>
      </c>
      <c r="E14" s="9" t="s">
        <v>1583</v>
      </c>
      <c r="F14" s="10" t="s">
        <v>1584</v>
      </c>
    </row>
    <row r="15" spans="1:6" ht="66.5" customHeight="1">
      <c r="A15" s="13" t="s">
        <v>465</v>
      </c>
      <c r="B15" s="1" t="s">
        <v>1585</v>
      </c>
      <c r="C15" s="1" t="s">
        <v>1586</v>
      </c>
      <c r="D15" s="16" t="s">
        <v>1587</v>
      </c>
      <c r="E15" s="1" t="s">
        <v>1588</v>
      </c>
      <c r="F15" s="15" t="s">
        <v>1589</v>
      </c>
    </row>
    <row r="16" spans="1:6" ht="66.5" customHeight="1">
      <c r="A16" s="7" t="s">
        <v>1590</v>
      </c>
      <c r="B16" s="9" t="s">
        <v>1585</v>
      </c>
      <c r="C16" s="9" t="s">
        <v>1591</v>
      </c>
      <c r="D16" s="11" t="s">
        <v>1592</v>
      </c>
      <c r="E16" s="9" t="s">
        <v>1593</v>
      </c>
      <c r="F16" s="10" t="s">
        <v>1594</v>
      </c>
    </row>
    <row r="17" spans="1:6" ht="66.5" customHeight="1">
      <c r="A17" s="13" t="s">
        <v>1595</v>
      </c>
      <c r="B17" s="1" t="s">
        <v>1585</v>
      </c>
      <c r="C17" s="1" t="s">
        <v>1596</v>
      </c>
      <c r="D17" s="16" t="s">
        <v>1597</v>
      </c>
      <c r="E17" s="1" t="s">
        <v>1598</v>
      </c>
      <c r="F17" s="15" t="s">
        <v>1599</v>
      </c>
    </row>
    <row r="18" spans="1:6" ht="66.5" customHeight="1">
      <c r="A18" s="7" t="s">
        <v>1600</v>
      </c>
      <c r="B18" s="9" t="s">
        <v>1601</v>
      </c>
      <c r="C18" s="9" t="s">
        <v>1602</v>
      </c>
      <c r="D18" s="11" t="s">
        <v>1603</v>
      </c>
      <c r="E18" s="9" t="s">
        <v>1604</v>
      </c>
      <c r="F18" s="10" t="s">
        <v>1605</v>
      </c>
    </row>
    <row r="19" spans="1:6" ht="49" customHeight="1">
      <c r="A19" s="13" t="s">
        <v>1606</v>
      </c>
      <c r="B19" s="1" t="s">
        <v>1601</v>
      </c>
      <c r="C19" s="1" t="s">
        <v>1607</v>
      </c>
      <c r="D19" s="16" t="s">
        <v>1608</v>
      </c>
      <c r="E19" s="1" t="s">
        <v>1609</v>
      </c>
      <c r="F19" s="15" t="s">
        <v>1610</v>
      </c>
    </row>
    <row r="20" spans="1:6" ht="66.5" customHeight="1">
      <c r="A20" s="7" t="s">
        <v>1611</v>
      </c>
      <c r="B20" s="9" t="s">
        <v>1601</v>
      </c>
      <c r="C20" s="9" t="s">
        <v>1612</v>
      </c>
      <c r="D20" s="11" t="s">
        <v>1613</v>
      </c>
      <c r="E20" s="9" t="s">
        <v>1614</v>
      </c>
      <c r="F20" s="10" t="s">
        <v>1615</v>
      </c>
    </row>
    <row r="21" spans="1:6" ht="66.5" customHeight="1">
      <c r="A21" s="13" t="s">
        <v>331</v>
      </c>
      <c r="B21" s="1" t="s">
        <v>1616</v>
      </c>
      <c r="C21" s="1" t="s">
        <v>1617</v>
      </c>
      <c r="D21" s="16" t="s">
        <v>1618</v>
      </c>
      <c r="E21" s="1" t="s">
        <v>1619</v>
      </c>
      <c r="F21" s="15" t="s">
        <v>1620</v>
      </c>
    </row>
    <row r="22" spans="1:6" ht="66.5" customHeight="1">
      <c r="A22" s="7" t="s">
        <v>460</v>
      </c>
      <c r="B22" s="9" t="s">
        <v>1616</v>
      </c>
      <c r="C22" s="9" t="s">
        <v>1621</v>
      </c>
      <c r="D22" s="11" t="s">
        <v>1622</v>
      </c>
      <c r="E22" s="9" t="s">
        <v>1623</v>
      </c>
      <c r="F22" s="10" t="s">
        <v>1624</v>
      </c>
    </row>
    <row r="23" spans="1:6" ht="66.5" customHeight="1">
      <c r="A23" s="13" t="s">
        <v>287</v>
      </c>
      <c r="B23" s="1" t="s">
        <v>1625</v>
      </c>
      <c r="C23" s="1" t="s">
        <v>1626</v>
      </c>
      <c r="D23" s="16" t="s">
        <v>1627</v>
      </c>
      <c r="E23" s="1" t="s">
        <v>1628</v>
      </c>
      <c r="F23" s="15" t="s">
        <v>1629</v>
      </c>
    </row>
    <row r="24" spans="1:6" ht="84" customHeight="1">
      <c r="A24" s="7" t="s">
        <v>411</v>
      </c>
      <c r="B24" s="9" t="s">
        <v>1630</v>
      </c>
      <c r="C24" s="9" t="s">
        <v>1631</v>
      </c>
      <c r="D24" s="11" t="s">
        <v>1632</v>
      </c>
      <c r="E24" s="9" t="s">
        <v>1633</v>
      </c>
      <c r="F24" s="10" t="s">
        <v>1634</v>
      </c>
    </row>
    <row r="25" spans="1:6" ht="84" customHeight="1">
      <c r="A25" s="13" t="s">
        <v>1635</v>
      </c>
      <c r="B25" s="1" t="s">
        <v>1630</v>
      </c>
      <c r="C25" s="1" t="s">
        <v>1636</v>
      </c>
      <c r="D25" s="16" t="s">
        <v>1637</v>
      </c>
      <c r="E25" s="1" t="s">
        <v>1638</v>
      </c>
      <c r="F25" s="15" t="s">
        <v>1639</v>
      </c>
    </row>
    <row r="26" spans="1:6" ht="66.5" customHeight="1">
      <c r="A26" s="7" t="s">
        <v>1640</v>
      </c>
      <c r="B26" s="9" t="s">
        <v>1630</v>
      </c>
      <c r="C26" s="9" t="s">
        <v>1641</v>
      </c>
      <c r="D26" s="11" t="s">
        <v>1642</v>
      </c>
      <c r="E26" s="9" t="s">
        <v>1643</v>
      </c>
      <c r="F26" s="10" t="s">
        <v>1644</v>
      </c>
    </row>
    <row r="27" spans="1:6" ht="66.5" customHeight="1">
      <c r="A27" s="13" t="s">
        <v>1645</v>
      </c>
      <c r="B27" s="1" t="s">
        <v>1630</v>
      </c>
      <c r="C27" s="1" t="s">
        <v>1646</v>
      </c>
      <c r="D27" s="16" t="s">
        <v>1647</v>
      </c>
      <c r="E27" s="1" t="s">
        <v>1648</v>
      </c>
      <c r="F27" s="15" t="s">
        <v>1649</v>
      </c>
    </row>
    <row r="28" spans="1:6" ht="84" customHeight="1">
      <c r="A28" s="7" t="s">
        <v>1650</v>
      </c>
      <c r="B28" s="9" t="s">
        <v>1630</v>
      </c>
      <c r="C28" s="9" t="s">
        <v>1651</v>
      </c>
      <c r="D28" s="11" t="s">
        <v>1652</v>
      </c>
      <c r="E28" s="9" t="s">
        <v>1653</v>
      </c>
      <c r="F28" s="10" t="s">
        <v>1654</v>
      </c>
    </row>
    <row r="29" spans="1:6" ht="66.5" customHeight="1">
      <c r="A29" s="13" t="s">
        <v>1655</v>
      </c>
      <c r="B29" s="1" t="s">
        <v>1656</v>
      </c>
      <c r="C29" s="1" t="s">
        <v>1657</v>
      </c>
      <c r="D29" s="16" t="s">
        <v>1658</v>
      </c>
      <c r="E29" s="1" t="s">
        <v>1659</v>
      </c>
      <c r="F29" s="15" t="s">
        <v>1660</v>
      </c>
    </row>
    <row r="30" spans="1:6" ht="66.5" customHeight="1">
      <c r="A30" s="7" t="s">
        <v>317</v>
      </c>
      <c r="B30" s="9" t="s">
        <v>1656</v>
      </c>
      <c r="C30" s="9" t="s">
        <v>1661</v>
      </c>
      <c r="D30" s="11" t="s">
        <v>1662</v>
      </c>
      <c r="E30" s="9" t="s">
        <v>1663</v>
      </c>
      <c r="F30" s="10" t="s">
        <v>1664</v>
      </c>
    </row>
    <row r="31" spans="1:6" ht="66.5" customHeight="1">
      <c r="A31" s="13" t="s">
        <v>848</v>
      </c>
      <c r="B31" s="1" t="s">
        <v>1665</v>
      </c>
      <c r="C31" s="1" t="s">
        <v>1666</v>
      </c>
      <c r="D31" s="16" t="s">
        <v>1667</v>
      </c>
      <c r="E31" s="1" t="s">
        <v>1668</v>
      </c>
      <c r="F31" s="15" t="s">
        <v>1669</v>
      </c>
    </row>
    <row r="32" spans="1:6" ht="66.5" customHeight="1">
      <c r="A32" s="7" t="s">
        <v>887</v>
      </c>
      <c r="B32" s="9" t="s">
        <v>1601</v>
      </c>
      <c r="C32" s="9" t="s">
        <v>1670</v>
      </c>
      <c r="D32" s="11" t="s">
        <v>1671</v>
      </c>
      <c r="E32" s="9" t="s">
        <v>1672</v>
      </c>
      <c r="F32" s="10" t="s">
        <v>1673</v>
      </c>
    </row>
    <row r="33" spans="1:6" ht="66.5" customHeight="1">
      <c r="A33" s="13" t="s">
        <v>1674</v>
      </c>
      <c r="B33" s="1" t="s">
        <v>1601</v>
      </c>
      <c r="C33" s="1" t="s">
        <v>1675</v>
      </c>
      <c r="D33" s="16" t="s">
        <v>1676</v>
      </c>
      <c r="E33" s="1" t="s">
        <v>1677</v>
      </c>
      <c r="F33" s="15" t="s">
        <v>1678</v>
      </c>
    </row>
    <row r="34" spans="1:6" ht="66.5" customHeight="1">
      <c r="A34" s="7" t="s">
        <v>853</v>
      </c>
      <c r="B34" s="9" t="s">
        <v>1601</v>
      </c>
      <c r="C34" s="9" t="s">
        <v>1679</v>
      </c>
      <c r="D34" s="11" t="s">
        <v>1680</v>
      </c>
      <c r="E34" s="9" t="s">
        <v>1681</v>
      </c>
      <c r="F34" s="10" t="s">
        <v>1682</v>
      </c>
    </row>
    <row r="35" spans="1:6" ht="66.5" customHeight="1">
      <c r="A35" s="13" t="s">
        <v>1683</v>
      </c>
      <c r="B35" s="1" t="s">
        <v>1601</v>
      </c>
      <c r="C35" s="1" t="s">
        <v>1684</v>
      </c>
      <c r="D35" s="16" t="s">
        <v>1685</v>
      </c>
      <c r="E35" s="1" t="s">
        <v>1686</v>
      </c>
      <c r="F35" s="15" t="s">
        <v>1687</v>
      </c>
    </row>
    <row r="36" spans="1:6" ht="66.5" customHeight="1">
      <c r="A36" s="7" t="s">
        <v>1688</v>
      </c>
      <c r="B36" s="9" t="s">
        <v>1665</v>
      </c>
      <c r="C36" s="9" t="s">
        <v>1689</v>
      </c>
      <c r="D36" s="11" t="s">
        <v>1690</v>
      </c>
      <c r="E36" s="9" t="s">
        <v>1691</v>
      </c>
      <c r="F36" s="10" t="s">
        <v>1692</v>
      </c>
    </row>
    <row r="37" spans="1:6" ht="66.5" customHeight="1">
      <c r="A37" s="13" t="s">
        <v>1693</v>
      </c>
      <c r="B37" s="1" t="s">
        <v>1601</v>
      </c>
      <c r="C37" s="1" t="s">
        <v>1694</v>
      </c>
      <c r="D37" s="16" t="s">
        <v>1695</v>
      </c>
      <c r="E37" s="1" t="s">
        <v>1696</v>
      </c>
      <c r="F37" s="15" t="s">
        <v>1697</v>
      </c>
    </row>
    <row r="38" spans="1:6" ht="66.5" customHeight="1">
      <c r="A38" s="7" t="s">
        <v>1698</v>
      </c>
      <c r="B38" s="9" t="s">
        <v>1665</v>
      </c>
      <c r="C38" s="9" t="s">
        <v>1699</v>
      </c>
      <c r="D38" s="11" t="s">
        <v>1700</v>
      </c>
      <c r="E38" s="9" t="s">
        <v>1701</v>
      </c>
      <c r="F38" s="10" t="s">
        <v>1702</v>
      </c>
    </row>
    <row r="39" spans="1:6" ht="66.5" customHeight="1">
      <c r="A39" s="13" t="s">
        <v>1703</v>
      </c>
      <c r="B39" s="1" t="s">
        <v>1665</v>
      </c>
      <c r="C39" s="1" t="s">
        <v>1704</v>
      </c>
      <c r="D39" s="16" t="s">
        <v>1705</v>
      </c>
      <c r="E39" s="1" t="s">
        <v>1706</v>
      </c>
      <c r="F39" s="15" t="s">
        <v>1707</v>
      </c>
    </row>
    <row r="40" spans="1:6" ht="66.5" customHeight="1">
      <c r="A40" s="7" t="s">
        <v>1708</v>
      </c>
      <c r="B40" s="9" t="s">
        <v>1709</v>
      </c>
      <c r="C40" s="9" t="s">
        <v>1710</v>
      </c>
      <c r="D40" s="11" t="s">
        <v>1711</v>
      </c>
      <c r="E40" s="9" t="s">
        <v>1712</v>
      </c>
      <c r="F40" s="10" t="s">
        <v>1713</v>
      </c>
    </row>
    <row r="41" spans="1:6" ht="66.5" customHeight="1">
      <c r="A41" s="13" t="s">
        <v>1714</v>
      </c>
      <c r="B41" s="1" t="s">
        <v>1625</v>
      </c>
      <c r="C41" s="1" t="s">
        <v>1715</v>
      </c>
      <c r="D41" s="16" t="s">
        <v>1716</v>
      </c>
      <c r="E41" s="1" t="s">
        <v>1717</v>
      </c>
      <c r="F41" s="15" t="s">
        <v>1718</v>
      </c>
    </row>
    <row r="42" spans="1:6" ht="66.5" customHeight="1">
      <c r="A42" s="7" t="s">
        <v>1719</v>
      </c>
      <c r="B42" s="9" t="s">
        <v>1720</v>
      </c>
      <c r="C42" s="9" t="s">
        <v>1721</v>
      </c>
      <c r="D42" s="11" t="s">
        <v>1722</v>
      </c>
      <c r="E42" s="9" t="s">
        <v>1723</v>
      </c>
      <c r="F42" s="10" t="s">
        <v>1724</v>
      </c>
    </row>
    <row r="43" spans="1:6" ht="66.5" customHeight="1">
      <c r="A43" s="13" t="s">
        <v>1725</v>
      </c>
      <c r="B43" s="1" t="s">
        <v>1540</v>
      </c>
      <c r="C43" s="1" t="s">
        <v>1726</v>
      </c>
      <c r="D43" s="16" t="s">
        <v>1727</v>
      </c>
      <c r="E43" s="1" t="s">
        <v>1728</v>
      </c>
      <c r="F43" s="15" t="s">
        <v>1729</v>
      </c>
    </row>
    <row r="44" spans="1:6" ht="66.5" customHeight="1">
      <c r="A44" s="7" t="s">
        <v>1730</v>
      </c>
      <c r="B44" s="9" t="s">
        <v>1656</v>
      </c>
      <c r="C44" s="9" t="s">
        <v>1731</v>
      </c>
      <c r="D44" s="11" t="s">
        <v>1732</v>
      </c>
      <c r="E44" s="9" t="s">
        <v>1733</v>
      </c>
      <c r="F44" s="10" t="s">
        <v>1734</v>
      </c>
    </row>
    <row r="45" spans="1:6" ht="49" customHeight="1">
      <c r="A45" s="13" t="s">
        <v>1735</v>
      </c>
      <c r="B45" s="1" t="s">
        <v>1601</v>
      </c>
      <c r="C45" s="1" t="s">
        <v>1736</v>
      </c>
      <c r="D45" s="16" t="s">
        <v>1737</v>
      </c>
      <c r="E45" s="1" t="s">
        <v>1738</v>
      </c>
      <c r="F45" s="15" t="s">
        <v>1739</v>
      </c>
    </row>
    <row r="46" spans="1:6" ht="66.5" customHeight="1">
      <c r="A46" s="7" t="s">
        <v>1740</v>
      </c>
      <c r="B46" s="9" t="s">
        <v>1601</v>
      </c>
      <c r="C46" s="9" t="s">
        <v>1741</v>
      </c>
      <c r="D46" s="11" t="s">
        <v>1742</v>
      </c>
      <c r="E46" s="9" t="s">
        <v>1743</v>
      </c>
      <c r="F46" s="10" t="s">
        <v>1744</v>
      </c>
    </row>
    <row r="47" spans="1:6" ht="84" customHeight="1">
      <c r="A47" s="13" t="s">
        <v>1745</v>
      </c>
      <c r="B47" s="1" t="s">
        <v>1746</v>
      </c>
      <c r="C47" s="1" t="s">
        <v>1747</v>
      </c>
      <c r="D47" s="16" t="s">
        <v>1748</v>
      </c>
      <c r="E47" s="1" t="s">
        <v>1749</v>
      </c>
      <c r="F47" s="15" t="s">
        <v>1750</v>
      </c>
    </row>
  </sheetData>
  <autoFilter ref="A5:F47"/>
  <mergeCells count="3">
    <mergeCell ref="A1:F1"/>
    <mergeCell ref="A2:F2"/>
    <mergeCell ref="B3:F3"/>
  </mergeCells>
  <hyperlinks>
    <hyperlink ref="A3" location="'00_はじめに'!A1" display="目次"/>
    <hyperlink ref="D6" r:id="rId1" tooltip="EAP 8.1 Configuration Guide — Reference Material"/>
    <hyperlink ref="D7" r:id="rId2" tooltip="EAP 8.1 — Configuring the transactions subsystem"/>
    <hyperlink ref="D8" r:id="rId3" tooltip="EAP 8.1 — Datasource management"/>
    <hyperlink ref="D9" r:id="rId4" tooltip="jboss-eap-parent 8.1.1.GA-redhat-00009 POM"/>
    <hyperlink ref="D10" r:id="rId5" location="L2103" tooltip="3.0.10.Final — WrappedConnection.java"/>
    <hyperlink ref="D11" r:id="rId6" location="L220" tooltip="3.0.10.Final — WrapperDataSource.java"/>
    <hyperlink ref="D12" r:id="rId7" location="L1454" tooltip="3.0.10.Final — WrappedStatement.java"/>
    <hyperlink ref="D13" r:id="rId8" location="L730" tooltip="3.0.10.Final — TxConnectionManagerImpl.java"/>
    <hyperlink ref="D14" r:id="rId9" location="L221" tooltip="3.0.10.Final — BaseWrapperManagedConnectionFactory.java"/>
    <hyperlink ref="D15" r:id="rId10" location="L108" tooltip="Connector/J 9.7.0 — MysqlXAConnection.java"/>
    <hyperlink ref="D16" r:id="rId11" tooltip="Connector/J 9.7.0 — CancelQueryTaskImpl.java"/>
    <hyperlink ref="D17" r:id="rId12" tooltip="Connector/J 9.7.0 — StatementImpl.java"/>
    <hyperlink ref="D18" r:id="rId13" tooltip="Connector/J — Networking properties"/>
    <hyperlink ref="D19" r:id="rId14" tooltip="Connector/J — Statements properties"/>
    <hyperlink ref="D20" r:id="rId15" tooltip="Connector/J — Performance Extensions"/>
    <hyperlink ref="D21" r:id="rId16" location="setQueryTimeout(int)" tooltip="Java SE 21 — Statement"/>
    <hyperlink ref="D22" r:id="rId17" location="setTransactionTimeout(int)" tooltip="Java SE 21 — XAResource"/>
    <hyperlink ref="D23" r:id="rId18" tooltip="Jakarta Transactions 2.0 Specification"/>
    <hyperlink ref="D24" r:id="rId19" location="L394" tooltip="7.1.2.Final — TransactionReaper.java"/>
    <hyperlink ref="D25" r:id="rId20" location="L253" tooltip="7.1.2.Final — TwoPhaseCoordinator.java"/>
    <hyperlink ref="D26" r:id="rId21" tooltip="7.1.2.Final — BasicAction.java"/>
    <hyperlink ref="D27" r:id="rId22" tooltip="7.1.2.Final — AtomicAction.java"/>
    <hyperlink ref="D28" r:id="rId23" tooltip="7.1.2.Final — TransactionImple.java"/>
    <hyperlink ref="D29" r:id="rId24" tooltip="Narayana Project Guide"/>
    <hyperlink ref="D30" r:id="rId25" tooltip="Narayana Product Guide"/>
    <hyperlink ref="D31" r:id="rId26" tooltip="Recommendations for MySQL features in Aurora MySQL"/>
    <hyperlink ref="D32" r:id="rId27" tooltip="MySQL 8.4 — XA Transaction States"/>
    <hyperlink ref="D33" r:id="rId28" tooltip="MySQL 8.4 — Restrictions on XA Transactions"/>
    <hyperlink ref="D34" r:id="rId29" location="sysvar_innodb_lock_wait_timeout" tooltip="MySQL 8.4 — InnoDB Startup Options and System Variables"/>
    <hyperlink ref="D35" r:id="rId30" tooltip="MySQL 8.4 — InnoDB Error Handling"/>
    <hyperlink ref="D36" r:id="rId31" tooltip="Aurora MySQL 8.4.7 release notes — 2026-05-21"/>
    <hyperlink ref="D37" r:id="rId32" tooltip="Connector/J 9.7.0 release notes — 2026-04-22"/>
    <hyperlink ref="D38" r:id="rId33" tooltip="Scaling to Zero ACUs with automatic pause and resume"/>
    <hyperlink ref="D39" r:id="rId34" tooltip="How Aurora serverless works"/>
    <hyperlink ref="D40" r:id="rId35" tooltip="Standards Information Base — historical C193"/>
    <hyperlink ref="D41" r:id="rId36" tooltip="Jakarta Transactions 2.0 release page"/>
    <hyperlink ref="D42" r:id="rId37" tooltip="IronJacamar 1.0 User Guide"/>
    <hyperlink ref="D43" r:id="rId38" tooltip="EAP 8 Supported Configurations"/>
    <hyperlink ref="D44" r:id="rId39" tooltip="Narayana community homepage"/>
    <hyperlink ref="D45" r:id="rId40" tooltip="MySQL 8.4 — XA Transaction SQL Statements"/>
    <hyperlink ref="D46" r:id="rId41" tooltip="MySQL 8.4 — Server System Variables"/>
    <hyperlink ref="D47" r:id="rId42" tooltip="EAP 8.1 — TransactionTimeout annotation"/>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xl/worksheets/sheet23.xml><?xml version="1.0" encoding="utf-8"?>
<worksheet xmlns="http://schemas.openxmlformats.org/spreadsheetml/2006/main" xmlns:r="http://schemas.openxmlformats.org/officeDocument/2006/relationships">
  <sheetPr>
    <tabColor rgb="FF2D805B"/>
    <pageSetUpPr fitToPage="1"/>
  </sheetPr>
  <dimension ref="A1:K29"/>
  <sheetViews>
    <sheetView showGridLines="0" zoomScale="90" zoomScaleNormal="90" workbookViewId="0">
      <pane xSplit="1" ySplit="5" topLeftCell="B6" activePane="bottomRight" state="frozen"/>
      <selection pane="topRight" activeCell="B1" sqref="B1"/>
      <selection pane="bottomLeft" activeCell="A6" sqref="A6"/>
      <selection pane="bottomRight"/>
    </sheetView>
  </sheetViews>
  <sheetFormatPr defaultRowHeight="22" customHeight="1"/>
  <cols>
    <col min="1" max="1" width="31.7109375" style="1" customWidth="1"/>
    <col min="2" max="11" width="13.7109375" style="1" customWidth="1"/>
  </cols>
  <sheetData>
    <row r="1" spans="1:11" ht="45" customHeight="1">
      <c r="A1" s="2" t="s">
        <v>1751</v>
      </c>
      <c r="B1" s="2"/>
      <c r="C1" s="2"/>
      <c r="D1" s="2"/>
      <c r="E1" s="2"/>
      <c r="F1" s="2"/>
      <c r="G1" s="2"/>
      <c r="H1" s="2"/>
      <c r="I1" s="2"/>
      <c r="J1" s="2"/>
      <c r="K1" s="2"/>
    </row>
    <row r="2" spans="1:11" ht="37" customHeight="1">
      <c r="A2" s="3" t="s">
        <v>1752</v>
      </c>
      <c r="B2" s="3"/>
      <c r="C2" s="3"/>
      <c r="D2" s="3"/>
      <c r="E2" s="3"/>
      <c r="F2" s="3"/>
      <c r="G2" s="3"/>
      <c r="H2" s="3"/>
      <c r="I2" s="3"/>
      <c r="J2" s="3"/>
      <c r="K2" s="3"/>
    </row>
    <row r="3" spans="1:11" ht="29" customHeight="1">
      <c r="A3" s="4" t="s">
        <v>2</v>
      </c>
      <c r="B3" s="3" t="s">
        <v>3</v>
      </c>
      <c r="C3" s="3"/>
      <c r="D3" s="3"/>
      <c r="E3" s="3"/>
      <c r="F3" s="3"/>
      <c r="G3" s="3"/>
      <c r="H3" s="3"/>
      <c r="I3" s="3"/>
      <c r="J3" s="3"/>
      <c r="K3" s="3"/>
    </row>
    <row r="5" spans="1:11" ht="38" customHeight="1">
      <c r="A5" s="5" t="s">
        <v>1753</v>
      </c>
      <c r="B5" s="5" t="s">
        <v>1754</v>
      </c>
      <c r="C5" s="5" t="s">
        <v>1755</v>
      </c>
      <c r="D5" s="5" t="s">
        <v>1756</v>
      </c>
      <c r="E5" s="5" t="s">
        <v>1757</v>
      </c>
      <c r="F5" s="5" t="s">
        <v>1758</v>
      </c>
      <c r="G5" s="5" t="s">
        <v>1759</v>
      </c>
      <c r="H5" s="5" t="s">
        <v>1760</v>
      </c>
      <c r="I5" s="5" t="s">
        <v>1761</v>
      </c>
      <c r="J5" s="5" t="s">
        <v>1762</v>
      </c>
      <c r="K5" s="5" t="s">
        <v>1763</v>
      </c>
    </row>
    <row r="6" spans="1:11" ht="66" customHeight="1">
      <c r="A6" s="7" t="s">
        <v>1764</v>
      </c>
      <c r="B6" s="22" t="s">
        <v>1765</v>
      </c>
      <c r="C6" s="22" t="s">
        <v>1765</v>
      </c>
      <c r="D6" s="22" t="s">
        <v>1765</v>
      </c>
      <c r="E6" s="22" t="s">
        <v>1765</v>
      </c>
      <c r="F6" s="22" t="s">
        <v>1765</v>
      </c>
      <c r="G6" s="22" t="s">
        <v>1765</v>
      </c>
      <c r="H6" s="9" t="s">
        <v>44</v>
      </c>
      <c r="I6" s="9" t="s">
        <v>44</v>
      </c>
      <c r="J6" s="9" t="s">
        <v>44</v>
      </c>
      <c r="K6" s="9" t="s">
        <v>44</v>
      </c>
    </row>
    <row r="7" spans="1:11" ht="66" customHeight="1">
      <c r="A7" s="13" t="s">
        <v>1766</v>
      </c>
      <c r="B7" s="23" t="s">
        <v>1767</v>
      </c>
      <c r="C7" s="23" t="s">
        <v>1768</v>
      </c>
      <c r="D7" s="1" t="s">
        <v>44</v>
      </c>
      <c r="E7" s="1" t="s">
        <v>44</v>
      </c>
      <c r="F7" s="1" t="s">
        <v>44</v>
      </c>
      <c r="G7" s="1" t="s">
        <v>44</v>
      </c>
      <c r="H7" s="1" t="s">
        <v>44</v>
      </c>
      <c r="I7" s="1" t="s">
        <v>44</v>
      </c>
      <c r="J7" s="1" t="s">
        <v>44</v>
      </c>
      <c r="K7" s="1" t="s">
        <v>44</v>
      </c>
    </row>
    <row r="8" spans="1:11" ht="66" customHeight="1">
      <c r="A8" s="7" t="s">
        <v>1769</v>
      </c>
      <c r="B8" s="9" t="s">
        <v>44</v>
      </c>
      <c r="C8" s="9" t="s">
        <v>44</v>
      </c>
      <c r="D8" s="23" t="s">
        <v>1767</v>
      </c>
      <c r="E8" s="23" t="s">
        <v>1768</v>
      </c>
      <c r="F8" s="9" t="s">
        <v>44</v>
      </c>
      <c r="G8" s="9" t="s">
        <v>44</v>
      </c>
      <c r="H8" s="9" t="s">
        <v>44</v>
      </c>
      <c r="I8" s="9" t="s">
        <v>44</v>
      </c>
      <c r="J8" s="9" t="s">
        <v>44</v>
      </c>
      <c r="K8" s="9" t="s">
        <v>44</v>
      </c>
    </row>
    <row r="9" spans="1:11" ht="66" customHeight="1">
      <c r="A9" s="13" t="s">
        <v>1770</v>
      </c>
      <c r="B9" s="1" t="s">
        <v>44</v>
      </c>
      <c r="C9" s="1" t="s">
        <v>44</v>
      </c>
      <c r="D9" s="1" t="s">
        <v>44</v>
      </c>
      <c r="E9" s="1" t="s">
        <v>44</v>
      </c>
      <c r="F9" s="24" t="s">
        <v>1771</v>
      </c>
      <c r="G9" s="24" t="s">
        <v>1771</v>
      </c>
      <c r="H9" s="1" t="s">
        <v>44</v>
      </c>
      <c r="I9" s="1" t="s">
        <v>44</v>
      </c>
      <c r="J9" s="1" t="s">
        <v>44</v>
      </c>
      <c r="K9" s="1" t="s">
        <v>44</v>
      </c>
    </row>
    <row r="10" spans="1:11" ht="66" customHeight="1">
      <c r="A10" s="7" t="s">
        <v>1772</v>
      </c>
      <c r="B10" s="9" t="s">
        <v>44</v>
      </c>
      <c r="C10" s="9" t="s">
        <v>44</v>
      </c>
      <c r="D10" s="9" t="s">
        <v>44</v>
      </c>
      <c r="E10" s="9" t="s">
        <v>44</v>
      </c>
      <c r="F10" s="23" t="s">
        <v>1773</v>
      </c>
      <c r="G10" s="9" t="s">
        <v>44</v>
      </c>
      <c r="H10" s="9" t="s">
        <v>44</v>
      </c>
      <c r="I10" s="9" t="s">
        <v>44</v>
      </c>
      <c r="J10" s="9" t="s">
        <v>44</v>
      </c>
      <c r="K10" s="9" t="s">
        <v>44</v>
      </c>
    </row>
    <row r="11" spans="1:11" ht="66" customHeight="1">
      <c r="A11" s="13" t="s">
        <v>1774</v>
      </c>
      <c r="B11" s="25" t="s">
        <v>1775</v>
      </c>
      <c r="C11" s="25" t="s">
        <v>1775</v>
      </c>
      <c r="D11" s="25" t="s">
        <v>1775</v>
      </c>
      <c r="E11" s="25" t="s">
        <v>1775</v>
      </c>
      <c r="F11" s="25" t="s">
        <v>1775</v>
      </c>
      <c r="G11" s="25" t="s">
        <v>1775</v>
      </c>
      <c r="H11" s="25" t="s">
        <v>1775</v>
      </c>
      <c r="I11" s="25" t="s">
        <v>1775</v>
      </c>
      <c r="J11" s="25" t="s">
        <v>1775</v>
      </c>
      <c r="K11" s="1" t="s">
        <v>44</v>
      </c>
    </row>
    <row r="13" spans="1:11" ht="47" customHeight="1">
      <c r="A13" s="20" t="s">
        <v>1776</v>
      </c>
      <c r="B13" s="20"/>
      <c r="C13" s="20"/>
      <c r="D13" s="20"/>
      <c r="E13" s="20"/>
      <c r="F13" s="20"/>
      <c r="G13" s="20"/>
      <c r="H13" s="20"/>
      <c r="I13" s="20"/>
      <c r="J13" s="20"/>
      <c r="K13" s="20"/>
    </row>
    <row r="15" spans="1:11" ht="48" customHeight="1">
      <c r="A15" s="5" t="s">
        <v>1777</v>
      </c>
      <c r="B15" s="5" t="s">
        <v>1778</v>
      </c>
      <c r="C15" s="5" t="s">
        <v>1779</v>
      </c>
      <c r="D15" s="5" t="s">
        <v>1780</v>
      </c>
      <c r="E15" s="5" t="s">
        <v>1781</v>
      </c>
      <c r="F15" s="5" t="s">
        <v>1782</v>
      </c>
      <c r="G15" s="5" t="s">
        <v>1783</v>
      </c>
      <c r="H15" s="5" t="s">
        <v>1784</v>
      </c>
      <c r="I15" s="5" t="s">
        <v>1785</v>
      </c>
      <c r="J15" s="5" t="s">
        <v>1786</v>
      </c>
      <c r="K15" s="5" t="s">
        <v>1787</v>
      </c>
    </row>
    <row r="16" spans="1:11" ht="76" customHeight="1">
      <c r="A16" s="7" t="s">
        <v>1788</v>
      </c>
      <c r="B16" s="9" t="s">
        <v>1789</v>
      </c>
      <c r="C16" s="9" t="s">
        <v>1789</v>
      </c>
      <c r="D16" s="9" t="s">
        <v>1789</v>
      </c>
      <c r="E16" s="9" t="s">
        <v>1790</v>
      </c>
      <c r="F16" s="9" t="s">
        <v>1791</v>
      </c>
      <c r="G16" s="9" t="s">
        <v>1792</v>
      </c>
      <c r="H16" s="9" t="s">
        <v>1793</v>
      </c>
      <c r="I16" s="9" t="s">
        <v>1768</v>
      </c>
      <c r="J16" s="9" t="s">
        <v>1794</v>
      </c>
      <c r="K16" s="9" t="s">
        <v>1795</v>
      </c>
    </row>
    <row r="17" spans="1:11" ht="86" customHeight="1">
      <c r="A17" s="13" t="s">
        <v>1796</v>
      </c>
      <c r="B17" s="15" t="s">
        <v>1797</v>
      </c>
      <c r="C17" s="15" t="s">
        <v>1797</v>
      </c>
      <c r="D17" s="15" t="s">
        <v>1798</v>
      </c>
      <c r="E17" s="15" t="s">
        <v>1799</v>
      </c>
      <c r="F17" s="15" t="s">
        <v>1800</v>
      </c>
      <c r="G17" s="15" t="s">
        <v>1801</v>
      </c>
      <c r="H17" s="15" t="s">
        <v>1802</v>
      </c>
      <c r="I17" s="15" t="s">
        <v>1803</v>
      </c>
      <c r="J17" s="15" t="s">
        <v>1804</v>
      </c>
      <c r="K17" s="15" t="s">
        <v>1805</v>
      </c>
    </row>
    <row r="18" spans="1:11" ht="86" customHeight="1">
      <c r="A18" s="7" t="s">
        <v>1806</v>
      </c>
      <c r="B18" s="8" t="s">
        <v>1807</v>
      </c>
      <c r="C18" s="8" t="s">
        <v>1808</v>
      </c>
      <c r="D18" s="8" t="s">
        <v>1809</v>
      </c>
      <c r="E18" s="8" t="s">
        <v>1810</v>
      </c>
      <c r="F18" s="8" t="s">
        <v>1810</v>
      </c>
      <c r="G18" s="8" t="s">
        <v>1807</v>
      </c>
      <c r="H18" s="8" t="s">
        <v>1810</v>
      </c>
      <c r="I18" s="8" t="s">
        <v>1811</v>
      </c>
      <c r="J18" s="8" t="s">
        <v>1812</v>
      </c>
      <c r="K18" s="8" t="s">
        <v>1813</v>
      </c>
    </row>
    <row r="20" spans="1:11" ht="58" customHeight="1">
      <c r="A20" s="20" t="s">
        <v>1814</v>
      </c>
      <c r="B20" s="20"/>
      <c r="C20" s="20"/>
      <c r="D20" s="20"/>
      <c r="E20" s="20"/>
      <c r="F20" s="20"/>
      <c r="G20" s="20"/>
      <c r="H20" s="20"/>
      <c r="I20" s="20"/>
      <c r="J20" s="20"/>
      <c r="K20" s="20"/>
    </row>
    <row r="22" spans="1:11" ht="38" customHeight="1">
      <c r="A22" s="5" t="s">
        <v>1815</v>
      </c>
      <c r="B22" s="5" t="s">
        <v>1816</v>
      </c>
      <c r="C22" s="5" t="s">
        <v>1817</v>
      </c>
      <c r="D22" s="5" t="s">
        <v>1818</v>
      </c>
      <c r="E22" s="5" t="s">
        <v>647</v>
      </c>
      <c r="F22" s="5" t="s">
        <v>1819</v>
      </c>
      <c r="G22" s="5" t="s">
        <v>44</v>
      </c>
      <c r="H22" s="5" t="s">
        <v>1820</v>
      </c>
      <c r="I22" s="5" t="s">
        <v>44</v>
      </c>
      <c r="J22" s="5" t="s">
        <v>44</v>
      </c>
      <c r="K22" s="5" t="s">
        <v>44</v>
      </c>
    </row>
    <row r="23" spans="1:11" ht="66" customHeight="1">
      <c r="A23" s="13" t="s">
        <v>1821</v>
      </c>
      <c r="B23" s="12" t="s">
        <v>1759</v>
      </c>
      <c r="C23" s="12" t="s">
        <v>1755</v>
      </c>
      <c r="D23" s="12" t="s">
        <v>1822</v>
      </c>
      <c r="E23" s="12" t="s">
        <v>654</v>
      </c>
      <c r="F23" s="19" t="s">
        <v>1759</v>
      </c>
      <c r="G23" s="1" t="s">
        <v>44</v>
      </c>
      <c r="H23" s="1" t="s">
        <v>1823</v>
      </c>
      <c r="I23" s="1" t="s">
        <v>1824</v>
      </c>
      <c r="J23" s="1" t="s">
        <v>44</v>
      </c>
      <c r="K23" s="1" t="s">
        <v>44</v>
      </c>
    </row>
    <row r="24" spans="1:11" ht="66" customHeight="1">
      <c r="A24" s="7" t="s">
        <v>1825</v>
      </c>
      <c r="B24" s="6" t="s">
        <v>1759</v>
      </c>
      <c r="C24" s="6" t="s">
        <v>1755</v>
      </c>
      <c r="D24" s="6" t="s">
        <v>1755</v>
      </c>
      <c r="E24" s="6" t="s">
        <v>654</v>
      </c>
      <c r="F24" s="19" t="s">
        <v>1755</v>
      </c>
      <c r="G24" s="9" t="s">
        <v>44</v>
      </c>
      <c r="H24" s="9" t="s">
        <v>1826</v>
      </c>
      <c r="I24" s="9" t="s">
        <v>1827</v>
      </c>
      <c r="J24" s="9" t="s">
        <v>44</v>
      </c>
      <c r="K24" s="9" t="s">
        <v>44</v>
      </c>
    </row>
    <row r="25" spans="1:11" ht="66" customHeight="1">
      <c r="A25" s="13" t="s">
        <v>1828</v>
      </c>
      <c r="B25" s="12" t="s">
        <v>1829</v>
      </c>
      <c r="C25" s="12" t="s">
        <v>1755</v>
      </c>
      <c r="D25" s="12" t="s">
        <v>1755</v>
      </c>
      <c r="E25" s="12" t="s">
        <v>654</v>
      </c>
      <c r="F25" s="19" t="s">
        <v>1829</v>
      </c>
      <c r="G25" s="1" t="s">
        <v>44</v>
      </c>
      <c r="H25" s="1" t="s">
        <v>1830</v>
      </c>
      <c r="I25" s="1" t="s">
        <v>1831</v>
      </c>
      <c r="J25" s="1" t="s">
        <v>44</v>
      </c>
      <c r="K25" s="1" t="s">
        <v>44</v>
      </c>
    </row>
    <row r="27" spans="1:11" ht="58" customHeight="1">
      <c r="A27" s="20" t="s">
        <v>1832</v>
      </c>
      <c r="B27" s="20"/>
      <c r="C27" s="20"/>
      <c r="D27" s="20"/>
      <c r="E27" s="20"/>
      <c r="F27" s="20"/>
      <c r="G27" s="20"/>
      <c r="H27" s="20"/>
      <c r="I27" s="20"/>
      <c r="J27" s="20"/>
      <c r="K27" s="20"/>
    </row>
    <row r="29" spans="1:11" ht="58" customHeight="1">
      <c r="A29" s="20" t="s">
        <v>1833</v>
      </c>
      <c r="B29" s="20"/>
      <c r="C29" s="20"/>
      <c r="D29" s="20"/>
      <c r="E29" s="20"/>
      <c r="F29" s="20"/>
      <c r="G29" s="20"/>
      <c r="H29" s="20"/>
      <c r="I29" s="20"/>
      <c r="J29" s="20"/>
      <c r="K29" s="20"/>
    </row>
  </sheetData>
  <mergeCells count="7">
    <mergeCell ref="A1:K1"/>
    <mergeCell ref="A2:K2"/>
    <mergeCell ref="B3:K3"/>
    <mergeCell ref="A13:K13"/>
    <mergeCell ref="A20:K20"/>
    <mergeCell ref="A27:K27"/>
    <mergeCell ref="A29:K29"/>
  </mergeCells>
  <hyperlinks>
    <hyperlink ref="A3" location="'00_はじめに'!A1" display="目次"/>
  </hyperlinks>
  <pageMargins left="0.28" right="0.28" top="0.38" bottom="0.38" header="0.3" footer="0.3"/>
  <pageSetup paperSize="8" fitToHeight="0" orientation="landscape"/>
  <headerFooter>
    <oddHeader>&amp;L&amp;"Meiryo UI,Regular"&amp;9 JTA・XA・SQL timeout  |  EAP 8.1 / Aurora MySQL</oddHeader>
    <oddFooter>&amp;L&amp;"Meiryo UI,Regular"&amp;9 出典は21シート  |  実機試験は未実施&amp;C&amp;"Meiryo UI,Regular"&amp;9&amp;P / &amp;N&amp;R&amp;"Meiryo UI,Regular"&amp;9 2026-10-09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46</vt:i4>
      </vt:variant>
    </vt:vector>
  </HeadingPairs>
  <TitlesOfParts>
    <vt:vector size="69" baseType="lpstr">
      <vt:lpstr>00_はじめに</vt:lpstr>
      <vt:lpstr>01_結論と設定案</vt:lpstr>
      <vt:lpstr>02_小学生のたとえ</vt:lpstr>
      <vt:lpstr>03_４設定の比較</vt:lpstr>
      <vt:lpstr>04_歴史と背景</vt:lpstr>
      <vt:lpstr>05_JTAのしくみ</vt:lpstr>
      <vt:lpstr>06_XAのしくみと限界</vt:lpstr>
      <vt:lpstr>07_SQLタイムアウト</vt:lpstr>
      <vt:lpstr>08_set-txの優先順位</vt:lpstr>
      <vt:lpstr>09_実効値早見</vt:lpstr>
      <vt:lpstr>10_2PCと期限の境界</vt:lpstr>
      <vt:lpstr>11_時系列シナリオ</vt:lpstr>
      <vt:lpstr>12_Auroraとロック</vt:lpstr>
      <vt:lpstr>13_整合性の設計</vt:lpstr>
      <vt:lpstr>14_設定値の候補</vt:lpstr>
      <vt:lpstr>15_設定診断器</vt:lpstr>
      <vt:lpstr>16_設定確認とCLI</vt:lpstr>
      <vt:lpstr>17_Java実装例</vt:lpstr>
      <vt:lpstr>18_障害対応と監視</vt:lpstr>
      <vt:lpstr>19_検証ケース</vt:lpstr>
      <vt:lpstr>20_FAQと用語</vt:lpstr>
      <vt:lpstr>21_出典と確認範囲</vt:lpstr>
      <vt:lpstr>22_動作イメージ</vt:lpstr>
      <vt:lpstr>'00_はじめに'!Print_Area</vt:lpstr>
      <vt:lpstr>'01_結論と設定案'!Print_Area</vt:lpstr>
      <vt:lpstr>'02_小学生のたとえ'!Print_Area</vt:lpstr>
      <vt:lpstr>'03_４設定の比較'!Print_Area</vt:lpstr>
      <vt:lpstr>'04_歴史と背景'!Print_Area</vt:lpstr>
      <vt:lpstr>'05_JTAのしくみ'!Print_Area</vt:lpstr>
      <vt:lpstr>'06_XAのしくみと限界'!Print_Area</vt:lpstr>
      <vt:lpstr>'07_SQLタイムアウト'!Print_Area</vt:lpstr>
      <vt:lpstr>'08_set-txの優先順位'!Print_Area</vt:lpstr>
      <vt:lpstr>'09_実効値早見'!Print_Area</vt:lpstr>
      <vt:lpstr>'10_2PCと期限の境界'!Print_Area</vt:lpstr>
      <vt:lpstr>'11_時系列シナリオ'!Print_Area</vt:lpstr>
      <vt:lpstr>'12_Auroraとロック'!Print_Area</vt:lpstr>
      <vt:lpstr>'13_整合性の設計'!Print_Area</vt:lpstr>
      <vt:lpstr>'14_設定値の候補'!Print_Area</vt:lpstr>
      <vt:lpstr>'15_設定診断器'!Print_Area</vt:lpstr>
      <vt:lpstr>'16_設定確認とCLI'!Print_Area</vt:lpstr>
      <vt:lpstr>'17_Java実装例'!Print_Area</vt:lpstr>
      <vt:lpstr>'18_障害対応と監視'!Print_Area</vt:lpstr>
      <vt:lpstr>'19_検証ケース'!Print_Area</vt:lpstr>
      <vt:lpstr>'20_FAQと用語'!Print_Area</vt:lpstr>
      <vt:lpstr>'21_出典と確認範囲'!Print_Area</vt:lpstr>
      <vt:lpstr>'22_動作イメージ'!Print_Area</vt:lpstr>
      <vt:lpstr>'00_はじめに'!Print_Titles</vt:lpstr>
      <vt:lpstr>'01_結論と設定案'!Print_Titles</vt:lpstr>
      <vt:lpstr>'02_小学生のたとえ'!Print_Titles</vt:lpstr>
      <vt:lpstr>'03_４設定の比較'!Print_Titles</vt:lpstr>
      <vt:lpstr>'04_歴史と背景'!Print_Titles</vt:lpstr>
      <vt:lpstr>'05_JTAのしくみ'!Print_Titles</vt:lpstr>
      <vt:lpstr>'06_XAのしくみと限界'!Print_Titles</vt:lpstr>
      <vt:lpstr>'07_SQLタイムアウト'!Print_Titles</vt:lpstr>
      <vt:lpstr>'08_set-txの優先順位'!Print_Titles</vt:lpstr>
      <vt:lpstr>'09_実効値早見'!Print_Titles</vt:lpstr>
      <vt:lpstr>'10_2PCと期限の境界'!Print_Titles</vt:lpstr>
      <vt:lpstr>'11_時系列シナリオ'!Print_Titles</vt:lpstr>
      <vt:lpstr>'12_Auroraとロック'!Print_Titles</vt:lpstr>
      <vt:lpstr>'13_整合性の設計'!Print_Titles</vt:lpstr>
      <vt:lpstr>'14_設定値の候補'!Print_Titles</vt:lpstr>
      <vt:lpstr>'15_設定診断器'!Print_Titles</vt:lpstr>
      <vt:lpstr>'16_設定確認とCLI'!Print_Titles</vt:lpstr>
      <vt:lpstr>'17_Java実装例'!Print_Titles</vt:lpstr>
      <vt:lpstr>'18_障害対応と監視'!Print_Titles</vt:lpstr>
      <vt:lpstr>'19_検証ケース'!Print_Titles</vt:lpstr>
      <vt:lpstr>'20_FAQと用語'!Print_Titles</vt:lpstr>
      <vt:lpstr>'21_出典と確認範囲'!Print_Titles</vt:lpstr>
      <vt:lpstr>'22_動作イメージ'!Print_Titles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JBoss EAP 8.1とAurora MySQLのタイムアウト徹底解説</dc:title>
  <dc:subject>JTA / XA / query-timeout / set-tx-query-timeout / Narayana 2PC</dc:subject>
  <dc:creator>Codex</dc:creator>
  <dc:description>Primary-source research as of 2026-10-09. Runtime tests not performed.</dc:description>
  <cp:lastModifiedBy>Codex</cp:lastModifiedBy>
  <dcterms:created xsi:type="dcterms:W3CDTF">2026-10-08T18:52:01Z</dcterms:created>
  <dcterms:modified xsi:type="dcterms:W3CDTF">2026-10-08T18:52:01Z</dcterms:modified>
</cp:coreProperties>
</file>